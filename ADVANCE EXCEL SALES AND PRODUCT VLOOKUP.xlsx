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activeTab="1"/>
  </bookViews>
  <sheets>
    <sheet name="PRODUCT DETAILS" sheetId="1" r:id="rId1"/>
    <sheet name="SALES 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<sst xmlns="http://schemas.openxmlformats.org/spreadsheetml/2006/main" count="90" uniqueCount="65">
  <si>
    <t>PRODUCT DETAILS</t>
  </si>
  <si>
    <t>PRODUCT_ID</t>
  </si>
  <si>
    <t>PRODUCT NAME</t>
  </si>
  <si>
    <t>CATEGORY</t>
  </si>
  <si>
    <t>PRICE</t>
  </si>
  <si>
    <t>GST</t>
  </si>
  <si>
    <t>WAREHOUSE</t>
  </si>
  <si>
    <t>P101</t>
  </si>
  <si>
    <t>Laptop</t>
  </si>
  <si>
    <t>Electronics</t>
  </si>
  <si>
    <t>A1</t>
  </si>
  <si>
    <t>P102</t>
  </si>
  <si>
    <t>Mouse</t>
  </si>
  <si>
    <t>Accessories</t>
  </si>
  <si>
    <t>A2</t>
  </si>
  <si>
    <t>P103</t>
  </si>
  <si>
    <t>Keyboard</t>
  </si>
  <si>
    <t>P104</t>
  </si>
  <si>
    <t>Monitor</t>
  </si>
  <si>
    <t>B1</t>
  </si>
  <si>
    <t>P105</t>
  </si>
  <si>
    <t>Printer</t>
  </si>
  <si>
    <t>Office</t>
  </si>
  <si>
    <t>B2</t>
  </si>
  <si>
    <t>P106</t>
  </si>
  <si>
    <t>Speaker</t>
  </si>
  <si>
    <t>C1</t>
  </si>
  <si>
    <t>P107</t>
  </si>
  <si>
    <t>Webcam</t>
  </si>
  <si>
    <t>C2</t>
  </si>
  <si>
    <t>P108</t>
  </si>
  <si>
    <t>SSD</t>
  </si>
  <si>
    <t>Storage</t>
  </si>
  <si>
    <t>D1</t>
  </si>
  <si>
    <t>P109</t>
  </si>
  <si>
    <t>CPU</t>
  </si>
  <si>
    <t>P110</t>
  </si>
  <si>
    <t>TV</t>
  </si>
  <si>
    <t>SALES DETAILS</t>
  </si>
  <si>
    <t>FUNCTIONS</t>
  </si>
  <si>
    <t>ORDER NO</t>
  </si>
  <si>
    <t>QUANTITY</t>
  </si>
  <si>
    <t>PRODUCT CODE</t>
  </si>
  <si>
    <t>ORDER REFERENCE</t>
  </si>
  <si>
    <t>GST%</t>
  </si>
  <si>
    <t>TOTAL AMOUNT</t>
  </si>
  <si>
    <t>GST AMOUNT</t>
  </si>
  <si>
    <t>FINAL BILL</t>
  </si>
  <si>
    <t>MATCH</t>
  </si>
  <si>
    <t>INDEX</t>
  </si>
  <si>
    <t>INDEX + MATCH</t>
  </si>
  <si>
    <t>001</t>
  </si>
  <si>
    <t>002</t>
  </si>
  <si>
    <t>003</t>
  </si>
  <si>
    <t>004</t>
  </si>
  <si>
    <t>005</t>
  </si>
  <si>
    <t>HIGHEST BILL</t>
  </si>
  <si>
    <t>LOWEST BILL</t>
  </si>
  <si>
    <t>AVERAGE BILL</t>
  </si>
  <si>
    <t>TOTAL REVENUE</t>
  </si>
  <si>
    <t>006</t>
  </si>
  <si>
    <t>007</t>
  </si>
  <si>
    <t>008</t>
  </si>
  <si>
    <t>009</t>
  </si>
  <si>
    <t>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</si>
</sst>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</numFmts>
  <fonts count="25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9" borderId="15" applyNumberFormat="0" applyAlignment="0" applyProtection="0">
      <alignment vertical="center"/>
    </xf>
    <xf numFmtId="0" fontId="16" fillId="9" borderId="14" applyNumberFormat="0" applyAlignment="0" applyProtection="0">
      <alignment vertical="center"/>
    </xf>
    <xf numFmtId="0" fontId="17" fillId="10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180" fontId="0" fillId="6" borderId="7" xfId="0" applyNumberFormat="1" applyFill="1" applyBorder="1" applyAlignment="1">
      <alignment horizontal="center" vertical="center"/>
    </xf>
    <xf numFmtId="9" fontId="0" fillId="6" borderId="7" xfId="3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9" fontId="0" fillId="6" borderId="7" xfId="0" applyNumberFormat="1" applyFill="1" applyBorder="1" applyAlignment="1">
      <alignment horizontal="center" vertical="center"/>
    </xf>
    <xf numFmtId="0" fontId="0" fillId="6" borderId="7" xfId="0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SheetLayoutView="60" workbookViewId="0">
      <pane xSplit="1" topLeftCell="B1" activePane="topRight" state="frozen"/>
      <selection/>
      <selection pane="topRight" activeCell="B2" sqref="B2"/>
    </sheetView>
  </sheetViews>
  <sheetFormatPr defaultColWidth="14.7777777777778" defaultRowHeight="14.4" outlineLevelCol="5"/>
  <cols>
    <col min="1" max="16384" width="14.7777777777778" customWidth="1"/>
  </cols>
  <sheetData>
    <row r="1" ht="15.6" spans="1:6">
      <c r="A1" s="1" t="s">
        <v>0</v>
      </c>
      <c r="B1" s="2"/>
      <c r="C1" s="2"/>
      <c r="D1" s="2"/>
      <c r="E1" s="2"/>
      <c r="F1" s="3"/>
    </row>
    <row r="2" spans="1:6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pans="1:6">
      <c r="A3" s="9" t="s">
        <v>7</v>
      </c>
      <c r="B3" s="9" t="s">
        <v>8</v>
      </c>
      <c r="C3" s="9" t="s">
        <v>9</v>
      </c>
      <c r="D3" s="10">
        <f ca="1">RANDBETWEEN(50000,90000)</f>
        <v>63101</v>
      </c>
      <c r="E3" s="15">
        <v>0.18</v>
      </c>
      <c r="F3" s="9" t="s">
        <v>10</v>
      </c>
    </row>
    <row r="4" spans="1:6">
      <c r="A4" s="9" t="s">
        <v>11</v>
      </c>
      <c r="B4" s="9" t="s">
        <v>12</v>
      </c>
      <c r="C4" s="9" t="s">
        <v>13</v>
      </c>
      <c r="D4" s="10">
        <f ca="1" t="shared" ref="D4:D12" si="0">RANDBETWEEN(50000,90000)</f>
        <v>75197</v>
      </c>
      <c r="E4" s="15">
        <v>0.18</v>
      </c>
      <c r="F4" s="9" t="s">
        <v>14</v>
      </c>
    </row>
    <row r="5" spans="1:6">
      <c r="A5" s="9" t="s">
        <v>15</v>
      </c>
      <c r="B5" s="9" t="s">
        <v>16</v>
      </c>
      <c r="C5" s="9" t="s">
        <v>13</v>
      </c>
      <c r="D5" s="10">
        <f ca="1" t="shared" si="0"/>
        <v>87843</v>
      </c>
      <c r="E5" s="15">
        <v>0.18</v>
      </c>
      <c r="F5" s="9" t="s">
        <v>14</v>
      </c>
    </row>
    <row r="6" spans="1:6">
      <c r="A6" s="9" t="s">
        <v>17</v>
      </c>
      <c r="B6" s="9" t="s">
        <v>18</v>
      </c>
      <c r="C6" s="9" t="s">
        <v>9</v>
      </c>
      <c r="D6" s="10">
        <f ca="1" t="shared" si="0"/>
        <v>59072</v>
      </c>
      <c r="E6" s="15">
        <v>0.18</v>
      </c>
      <c r="F6" s="9" t="s">
        <v>19</v>
      </c>
    </row>
    <row r="7" spans="1:6">
      <c r="A7" s="9" t="s">
        <v>20</v>
      </c>
      <c r="B7" s="9" t="s">
        <v>21</v>
      </c>
      <c r="C7" s="9" t="s">
        <v>22</v>
      </c>
      <c r="D7" s="10">
        <f ca="1" t="shared" si="0"/>
        <v>77772</v>
      </c>
      <c r="E7" s="15">
        <v>0.18</v>
      </c>
      <c r="F7" s="9" t="s">
        <v>23</v>
      </c>
    </row>
    <row r="8" spans="1:6">
      <c r="A8" s="9" t="s">
        <v>24</v>
      </c>
      <c r="B8" s="9" t="s">
        <v>25</v>
      </c>
      <c r="C8" s="9" t="s">
        <v>9</v>
      </c>
      <c r="D8" s="10">
        <f ca="1" t="shared" si="0"/>
        <v>66344</v>
      </c>
      <c r="E8" s="15">
        <v>0.18</v>
      </c>
      <c r="F8" s="9" t="s">
        <v>26</v>
      </c>
    </row>
    <row r="9" spans="1:6">
      <c r="A9" s="9" t="s">
        <v>27</v>
      </c>
      <c r="B9" s="9" t="s">
        <v>28</v>
      </c>
      <c r="C9" s="9" t="s">
        <v>9</v>
      </c>
      <c r="D9" s="10">
        <f ca="1" t="shared" si="0"/>
        <v>58097</v>
      </c>
      <c r="E9" s="15">
        <v>0.18</v>
      </c>
      <c r="F9" s="9" t="s">
        <v>29</v>
      </c>
    </row>
    <row r="10" spans="1:6">
      <c r="A10" s="9" t="s">
        <v>30</v>
      </c>
      <c r="B10" s="9" t="s">
        <v>31</v>
      </c>
      <c r="C10" s="9" t="s">
        <v>32</v>
      </c>
      <c r="D10" s="10">
        <f ca="1" t="shared" si="0"/>
        <v>70698</v>
      </c>
      <c r="E10" s="15">
        <v>0.18</v>
      </c>
      <c r="F10" s="9" t="s">
        <v>33</v>
      </c>
    </row>
    <row r="11" spans="1:6">
      <c r="A11" s="9" t="s">
        <v>34</v>
      </c>
      <c r="B11" s="9" t="s">
        <v>35</v>
      </c>
      <c r="C11" s="9" t="s">
        <v>13</v>
      </c>
      <c r="D11" s="10">
        <f ca="1" t="shared" si="0"/>
        <v>60733</v>
      </c>
      <c r="E11" s="15">
        <v>0.18</v>
      </c>
      <c r="F11" s="9" t="s">
        <v>23</v>
      </c>
    </row>
    <row r="12" spans="1:6">
      <c r="A12" s="9" t="s">
        <v>36</v>
      </c>
      <c r="B12" s="9" t="s">
        <v>37</v>
      </c>
      <c r="C12" s="9" t="s">
        <v>9</v>
      </c>
      <c r="D12" s="10">
        <f ca="1" t="shared" si="0"/>
        <v>58253</v>
      </c>
      <c r="E12" s="15">
        <v>0.18</v>
      </c>
      <c r="F12" s="9" t="s">
        <v>10</v>
      </c>
    </row>
  </sheetData>
  <sortState ref="A1:F1">
    <sortCondition ref="A1"/>
  </sortState>
  <mergeCells count="1">
    <mergeCell ref="A1:F1"/>
  </mergeCells>
  <dataValidations count="4">
    <dataValidation type="list" allowBlank="1" showInputMessage="1" showErrorMessage="1" sqref="A2:A1048576">
      <formula1>"P101,P102,P103,P104,P105,P106,P107,P108,P109,P110"</formula1>
    </dataValidation>
    <dataValidation type="list" allowBlank="1" showInputMessage="1" showErrorMessage="1" sqref="B3:B12">
      <formula1>"Laptop,Mouse,Keyboard,Monitor,Printer,Speaker,Webcam,SSD,CPU,TV"</formula1>
    </dataValidation>
    <dataValidation type="list" allowBlank="1" showInputMessage="1" showErrorMessage="1" sqref="C3:C12">
      <formula1>"Electronics,Accessories,Office,Storage"</formula1>
    </dataValidation>
    <dataValidation type="list" allowBlank="1" showInputMessage="1" showErrorMessage="1" sqref="F3:F12">
      <formula1>"A1,A2,A2,B1,B2,C1,C2,D1,D2"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workbookViewId="0">
      <pane xSplit="1" topLeftCell="E1" activePane="topRight" state="frozen"/>
      <selection/>
      <selection pane="topRight" activeCell="R7" sqref="R7"/>
    </sheetView>
  </sheetViews>
  <sheetFormatPr defaultColWidth="10.6666666666667" defaultRowHeight="14.4"/>
  <cols>
    <col min="1" max="1" width="10.6666666666667" customWidth="1"/>
    <col min="2" max="2" width="13" customWidth="1"/>
    <col min="3" max="3" width="10.5555555555556" customWidth="1"/>
    <col min="4" max="4" width="16.4444444444444" customWidth="1"/>
    <col min="5" max="5" width="15.6666666666667" customWidth="1"/>
    <col min="6" max="6" width="18.4444444444444" customWidth="1"/>
    <col min="7" max="8" width="11.2222222222222" customWidth="1"/>
    <col min="9" max="9" width="6.33333333333333" customWidth="1"/>
    <col min="10" max="10" width="16.2222222222222" customWidth="1"/>
    <col min="11" max="11" width="13.7777777777778" customWidth="1"/>
    <col min="12" max="12" width="12.8888888888889" customWidth="1"/>
    <col min="13" max="13" width="13" customWidth="1"/>
    <col min="14" max="14" width="10.6666666666667" customWidth="1"/>
    <col min="15" max="15" width="13" customWidth="1"/>
    <col min="16" max="16" width="12.7777777777778" customWidth="1"/>
    <col min="17" max="17" width="15.7777777777778" customWidth="1"/>
    <col min="18" max="18" width="16" customWidth="1"/>
    <col min="19" max="16384" width="10.6666666666667" customWidth="1"/>
  </cols>
  <sheetData>
    <row r="1" ht="15.6" spans="1:18">
      <c r="A1" s="1" t="s">
        <v>38</v>
      </c>
      <c r="B1" s="2"/>
      <c r="C1" s="2"/>
      <c r="D1" s="2"/>
      <c r="E1" s="2"/>
      <c r="F1" s="3"/>
      <c r="G1" s="1"/>
      <c r="H1" s="2"/>
      <c r="I1" s="2"/>
      <c r="J1" s="2"/>
      <c r="K1" s="2"/>
      <c r="L1" s="3"/>
      <c r="M1" s="1"/>
      <c r="O1" s="4" t="s">
        <v>39</v>
      </c>
      <c r="P1" s="5"/>
      <c r="Q1" s="6"/>
    </row>
    <row r="2" spans="1:18">
      <c r="A2" s="7" t="s">
        <v>40</v>
      </c>
      <c r="B2" s="7" t="s">
        <v>1</v>
      </c>
      <c r="C2" s="7" t="s">
        <v>41</v>
      </c>
      <c r="D2" s="7" t="s">
        <v>2</v>
      </c>
      <c r="E2" s="7" t="s">
        <v>42</v>
      </c>
      <c r="F2" s="7" t="s">
        <v>43</v>
      </c>
      <c r="G2" s="7" t="s">
        <v>3</v>
      </c>
      <c r="H2" s="7" t="s">
        <v>4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6</v>
      </c>
      <c r="O2" s="8" t="s">
        <v>48</v>
      </c>
      <c r="P2" s="8" t="s">
        <v>49</v>
      </c>
      <c r="Q2" s="8" t="s">
        <v>50</v>
      </c>
    </row>
    <row r="3" spans="1:18">
      <c r="A3" s="16" t="s">
        <v>51</v>
      </c>
      <c r="B3" s="9" t="s">
        <v>7</v>
      </c>
      <c r="C3" s="9">
        <f ca="1">RANDBETWEEN(1,7)</f>
        <v>2</v>
      </c>
      <c r="D3" s="9" t="str">
        <f ca="1">IFERROR(VLOOKUP(B3,'PRODUCT DETAILS'!$A$2:$F$11,2,FALSE),"PRODUCT NOT FOUND")</f>
        <v>Laptop</v>
      </c>
      <c r="E3" s="9" t="str">
        <f ca="1">UPPER(LEFT(D3,3))</f>
        <v>LAP</v>
      </c>
      <c r="F3" s="9" t="str">
        <f>_xlfn.CONCAT("ORD-",B3,"-",TEXT(A3,"000"))</f>
        <v>ORD-P101-001</v>
      </c>
      <c r="G3" s="9" t="str">
        <f ca="1">VLOOKUP(B3,'PRODUCT DETAILS'!A2:F12,3,0)</f>
        <v>Electronics</v>
      </c>
      <c r="H3" s="10">
        <f ca="1">VLOOKUP(B3,'PRODUCT DETAILS'!A3:F12,4,0)</f>
        <v>63101</v>
      </c>
      <c r="I3" s="11">
        <f ca="1">VLOOKUP(B3,'PRODUCT DETAILS'!A3:F12,5,0)</f>
        <v>0.18</v>
      </c>
      <c r="J3" s="10">
        <f ca="1">C3*H3</f>
        <v>126202</v>
      </c>
      <c r="K3" s="10">
        <f ca="1">J3*I3</f>
        <v>22716.36</v>
      </c>
      <c r="L3" s="10">
        <f ca="1">J3+K3</f>
        <v>148918.36</v>
      </c>
      <c r="M3" s="9" t="str">
        <f ca="1">VLOOKUP(B3,'PRODUCT DETAILS'!A3:F12,6,0)</f>
        <v>A1</v>
      </c>
      <c r="O3" s="9">
        <f>MATCH("P105",'PRODUCT DETAILS'!A2:A11,0)</f>
        <v>6</v>
      </c>
      <c r="P3" s="9">
        <f ca="1">INDEX('PRODUCT DETAILS'!D2:D11,8)</f>
        <v>58097</v>
      </c>
      <c r="Q3" s="9" t="str" cm="1">
        <f t="array" ref="Q3">INDEX('PRODUCT DETAILS'!F2:F11,MATCH(B2,'PRODUCT DETAILS'!A2:A11,0))</f>
        <v>WAREHOUSE</v>
      </c>
    </row>
    <row r="4" spans="1:18">
      <c r="A4" s="16" t="s">
        <v>52</v>
      </c>
      <c r="B4" s="9" t="s">
        <v>15</v>
      </c>
      <c r="C4" s="9">
        <f ca="1" t="shared" ref="C4:C12" si="0">RANDBETWEEN(1,7)</f>
        <v>6</v>
      </c>
      <c r="D4" s="9" t="str">
        <f ca="1">IFERROR(VLOOKUP(B4,'PRODUCT DETAILS'!$A$2:$F$11,2,FALSE),"PRODUCT NOT FOUND")</f>
        <v>Keyboard</v>
      </c>
      <c r="E4" s="9" t="str">
        <f ca="1" t="shared" ref="E4:E12" si="1">UPPER(LEFT(D4,3))</f>
        <v>KEY</v>
      </c>
      <c r="F4" s="9" t="str">
        <f t="shared" ref="F4:F12" si="2">_xlfn.CONCAT("ORD-",B4,"-",TEXT(A4,"000"))</f>
        <v>ORD-P103-002</v>
      </c>
      <c r="G4" s="9" t="str">
        <f ca="1">VLOOKUP(B4,'PRODUCT DETAILS'!A3:F13,3,0)</f>
        <v>Accessories</v>
      </c>
      <c r="H4" s="10">
        <f ca="1">VLOOKUP(B4,'PRODUCT DETAILS'!A4:F13,4,0)</f>
        <v>87843</v>
      </c>
      <c r="I4" s="11">
        <f ca="1">VLOOKUP(B4,'PRODUCT DETAILS'!A4:F13,5,0)</f>
        <v>0.18</v>
      </c>
      <c r="J4" s="10">
        <f ca="1" t="shared" ref="J4:J12" si="3">C4*H4</f>
        <v>527058</v>
      </c>
      <c r="K4" s="10">
        <f ca="1" t="shared" ref="K4:K12" si="4">J4*I4</f>
        <v>94870.44</v>
      </c>
      <c r="L4" s="10">
        <f ca="1" t="shared" ref="L4:L12" si="5">J4+K4</f>
        <v>621928.44</v>
      </c>
      <c r="M4" s="9" t="str">
        <f ca="1">VLOOKUP(B4,'PRODUCT DETAILS'!A4:F13,6,0)</f>
        <v>A2</v>
      </c>
    </row>
    <row r="5" ht="15.15" spans="1:18">
      <c r="A5" s="16" t="s">
        <v>53</v>
      </c>
      <c r="B5" s="9" t="s">
        <v>20</v>
      </c>
      <c r="C5" s="9">
        <f ca="1" t="shared" si="0"/>
        <v>6</v>
      </c>
      <c r="D5" s="9" t="str">
        <f ca="1">IFERROR(VLOOKUP(B5,'PRODUCT DETAILS'!$A$2:$F$11,2,FALSE),"PRODUCT NOT FOUND")</f>
        <v>Printer</v>
      </c>
      <c r="E5" s="9" t="str">
        <f ca="1" t="shared" si="1"/>
        <v>PRI</v>
      </c>
      <c r="F5" s="9" t="str">
        <f t="shared" si="2"/>
        <v>ORD-P105-003</v>
      </c>
      <c r="G5" s="9" t="str">
        <f ca="1">VLOOKUP(B5,'PRODUCT DETAILS'!A4:F14,3,0)</f>
        <v>Office</v>
      </c>
      <c r="H5" s="10">
        <f ca="1">VLOOKUP(B5,'PRODUCT DETAILS'!A5:F14,4,0)</f>
        <v>77772</v>
      </c>
      <c r="I5" s="11">
        <f ca="1">VLOOKUP(B5,'PRODUCT DETAILS'!A5:F14,5,0)</f>
        <v>0.18</v>
      </c>
      <c r="J5" s="10">
        <f ca="1" t="shared" si="3"/>
        <v>466632</v>
      </c>
      <c r="K5" s="10">
        <f ca="1" t="shared" si="4"/>
        <v>83993.76</v>
      </c>
      <c r="L5" s="10">
        <f ca="1" t="shared" si="5"/>
        <v>550625.76</v>
      </c>
      <c r="M5" s="9" t="str">
        <f ca="1">VLOOKUP(B5,'PRODUCT DETAILS'!A5:F14,6,0)</f>
        <v>B2</v>
      </c>
    </row>
    <row r="6" spans="1:18">
      <c r="A6" s="16" t="s">
        <v>54</v>
      </c>
      <c r="B6" s="9" t="s">
        <v>30</v>
      </c>
      <c r="C6" s="9">
        <f ca="1" t="shared" si="0"/>
        <v>4</v>
      </c>
      <c r="D6" s="9" t="str">
        <f ca="1">IFERROR(VLOOKUP(B6,'PRODUCT DETAILS'!$A$2:$F$11,2,FALSE),"PRODUCT NOT FOUND")</f>
        <v>SSD</v>
      </c>
      <c r="E6" s="9" t="str">
        <f ca="1" t="shared" si="1"/>
        <v>SSD</v>
      </c>
      <c r="F6" s="9" t="str">
        <f t="shared" si="2"/>
        <v>ORD-P108-004</v>
      </c>
      <c r="G6" s="9" t="str">
        <f ca="1">VLOOKUP(B6,'PRODUCT DETAILS'!A5:F15,3,0)</f>
        <v>Storage</v>
      </c>
      <c r="H6" s="10">
        <f ca="1">VLOOKUP(B6,'PRODUCT DETAILS'!A6:F15,4,0)</f>
        <v>70698</v>
      </c>
      <c r="I6" s="11">
        <f ca="1">VLOOKUP(B6,'PRODUCT DETAILS'!A6:F15,5,0)</f>
        <v>0.18</v>
      </c>
      <c r="J6" s="10">
        <f ca="1" t="shared" si="3"/>
        <v>282792</v>
      </c>
      <c r="K6" s="10">
        <f ca="1" t="shared" si="4"/>
        <v>50902.56</v>
      </c>
      <c r="L6" s="10">
        <f ca="1" t="shared" si="5"/>
        <v>333694.56</v>
      </c>
      <c r="M6" s="9" t="str">
        <f ca="1">VLOOKUP(B6,'PRODUCT DETAILS'!A6:F15,6,0)</f>
        <v>D1</v>
      </c>
      <c r="O6" s="12" t="s">
        <v>47</v>
      </c>
      <c r="P6" s="13"/>
      <c r="Q6" s="13"/>
      <c r="R6" s="14"/>
    </row>
    <row r="7" spans="1:18">
      <c r="A7" s="16" t="s">
        <v>55</v>
      </c>
      <c r="B7" s="9" t="s">
        <v>36</v>
      </c>
      <c r="C7" s="9">
        <f ca="1" t="shared" si="0"/>
        <v>4</v>
      </c>
      <c r="D7" s="9" t="str">
        <f ca="1">IFERROR(VLOOKUP(B7,'PRODUCT DETAILS'!A2:F12,2,FALSE),"PRODUCT NOT FOUND")</f>
        <v>TV</v>
      </c>
      <c r="E7" s="9" t="str">
        <f ca="1" t="shared" si="1"/>
        <v>TV</v>
      </c>
      <c r="F7" s="9" t="str">
        <f t="shared" si="2"/>
        <v>ORD-P110-005</v>
      </c>
      <c r="G7" s="9" t="str">
        <f ca="1">VLOOKUP(B7,'PRODUCT DETAILS'!A6:F16,3,0)</f>
        <v>Electronics</v>
      </c>
      <c r="H7" s="10">
        <f ca="1">VLOOKUP(B7,'PRODUCT DETAILS'!A7:F16,4,0)</f>
        <v>58253</v>
      </c>
      <c r="I7" s="11">
        <f ca="1">VLOOKUP(B7,'PRODUCT DETAILS'!A7:F16,5,0)</f>
        <v>0.18</v>
      </c>
      <c r="J7" s="10">
        <f ca="1" t="shared" si="3"/>
        <v>233012</v>
      </c>
      <c r="K7" s="10">
        <f ca="1" t="shared" si="4"/>
        <v>41942.16</v>
      </c>
      <c r="L7" s="10">
        <f ca="1" t="shared" si="5"/>
        <v>274954.16</v>
      </c>
      <c r="M7" s="9" t="str">
        <f ca="1">VLOOKUP(B7,'PRODUCT DETAILS'!A7:F16,6,0)</f>
        <v>A1</v>
      </c>
      <c r="O7" s="8" t="s">
        <v>56</v>
      </c>
      <c r="P7" s="8" t="s">
        <v>57</v>
      </c>
      <c r="Q7" s="8" t="s">
        <v>58</v>
      </c>
      <c r="R7" s="8" t="s">
        <v>59</v>
      </c>
    </row>
    <row r="8" spans="1:18">
      <c r="A8" s="16" t="s">
        <v>60</v>
      </c>
      <c r="B8" s="9" t="s">
        <v>17</v>
      </c>
      <c r="C8" s="9">
        <f ca="1" t="shared" si="0"/>
        <v>5</v>
      </c>
      <c r="D8" s="9" t="str">
        <f ca="1">IFERROR(VLOOKUP(B8,'PRODUCT DETAILS'!$A$2:$F$11,2,FALSE),"PRODUCT NOT FOUND")</f>
        <v>Monitor</v>
      </c>
      <c r="E8" s="9" t="str">
        <f ca="1" t="shared" si="1"/>
        <v>MON</v>
      </c>
      <c r="F8" s="9" t="str">
        <f t="shared" si="2"/>
        <v>ORD-P104-006</v>
      </c>
      <c r="G8" s="9" t="str">
        <f ca="1">VLOOKUP(B8,'PRODUCT DETAILS'!A2:F12,3,0)</f>
        <v>Electronics</v>
      </c>
      <c r="H8" s="10">
        <f ca="1">VLOOKUP(B8,'PRODUCT DETAILS'!A2:F12,4,0)</f>
        <v>59072</v>
      </c>
      <c r="I8" s="11">
        <f ca="1">VLOOKUP(B8,'PRODUCT DETAILS'!A3:F12,5,0)</f>
        <v>0.18</v>
      </c>
      <c r="J8" s="10">
        <f ca="1" t="shared" si="3"/>
        <v>295360</v>
      </c>
      <c r="K8" s="10">
        <f ca="1" t="shared" si="4"/>
        <v>53164.8</v>
      </c>
      <c r="L8" s="10">
        <f ca="1" t="shared" si="5"/>
        <v>348524.8</v>
      </c>
      <c r="M8" s="9" t="str">
        <f ca="1">VLOOKUP(B8,'PRODUCT DETAILS'!A3:F12,6,0)</f>
        <v>B1</v>
      </c>
      <c r="O8" s="10">
        <f ca="1">MAX(J3:J12)</f>
        <v>527058</v>
      </c>
      <c r="P8" s="10">
        <f ca="1">MIN(J3:J12)</f>
        <v>66344</v>
      </c>
      <c r="Q8" s="10">
        <f ca="1">AVERAGE(J3:J12)</f>
        <v>258211.7</v>
      </c>
      <c r="R8" s="10">
        <f ca="1">SUM(J3:J12)</f>
        <v>2582117</v>
      </c>
    </row>
    <row r="9" spans="1:18">
      <c r="A9" s="16" t="s">
        <v>61</v>
      </c>
      <c r="B9" s="9" t="s">
        <v>11</v>
      </c>
      <c r="C9" s="9">
        <f ca="1" t="shared" si="0"/>
        <v>3</v>
      </c>
      <c r="D9" s="9" t="str">
        <f ca="1">IFERROR(VLOOKUP(B9,'PRODUCT DETAILS'!$A$2:$F$11,2,FALSE),"PRODUCT NOT FOUND")</f>
        <v>Mouse</v>
      </c>
      <c r="E9" s="9" t="str">
        <f ca="1" t="shared" si="1"/>
        <v>MOU</v>
      </c>
      <c r="F9" s="9" t="str">
        <f t="shared" si="2"/>
        <v>ORD-P102-007</v>
      </c>
      <c r="G9" s="9" t="str">
        <f ca="1">VLOOKUP(B9,'PRODUCT DETAILS'!A3:F13,3,0)</f>
        <v>Accessories</v>
      </c>
      <c r="H9" s="10">
        <f ca="1">VLOOKUP(B9,'PRODUCT DETAILS'!A3:F13,4,0)</f>
        <v>75197</v>
      </c>
      <c r="I9" s="11">
        <f ca="1">VLOOKUP(B9,'PRODUCT DETAILS'!A4:F13,5,0)</f>
        <v>0.18</v>
      </c>
      <c r="J9" s="10">
        <f ca="1" t="shared" si="3"/>
        <v>225591</v>
      </c>
      <c r="K9" s="10">
        <f ca="1" t="shared" si="4"/>
        <v>40606.38</v>
      </c>
      <c r="L9" s="10">
        <f ca="1" t="shared" si="5"/>
        <v>266197.38</v>
      </c>
      <c r="M9" s="9" t="str">
        <f ca="1">VLOOKUP(B9,'PRODUCT DETAILS'!A4:F13,6,0)</f>
        <v>A2</v>
      </c>
    </row>
    <row r="10" spans="1:18">
      <c r="A10" s="16" t="s">
        <v>62</v>
      </c>
      <c r="B10" s="9" t="s">
        <v>24</v>
      </c>
      <c r="C10" s="9">
        <f ca="1" t="shared" si="0"/>
        <v>1</v>
      </c>
      <c r="D10" s="9" t="str">
        <f ca="1">IFERROR(VLOOKUP(B10,'PRODUCT DETAILS'!$A$2:$F$11,2,FALSE),"PRODUCT NOT FOUND")</f>
        <v>Speaker</v>
      </c>
      <c r="E10" s="9" t="str">
        <f ca="1" t="shared" si="1"/>
        <v>SPE</v>
      </c>
      <c r="F10" s="9" t="str">
        <f t="shared" si="2"/>
        <v>ORD-P106-008</v>
      </c>
      <c r="G10" s="9" t="str">
        <f ca="1">VLOOKUP(B10,'PRODUCT DETAILS'!A4:F14,3,0)</f>
        <v>Electronics</v>
      </c>
      <c r="H10" s="10">
        <f ca="1">VLOOKUP(B10,'PRODUCT DETAILS'!A4:F14,4,0)</f>
        <v>66344</v>
      </c>
      <c r="I10" s="11">
        <f ca="1">VLOOKUP(B10,'PRODUCT DETAILS'!A5:F14,5,0)</f>
        <v>0.18</v>
      </c>
      <c r="J10" s="10">
        <f ca="1" t="shared" si="3"/>
        <v>66344</v>
      </c>
      <c r="K10" s="10">
        <f ca="1" t="shared" si="4"/>
        <v>11941.92</v>
      </c>
      <c r="L10" s="10">
        <f ca="1" t="shared" si="5"/>
        <v>78285.92</v>
      </c>
      <c r="M10" s="9" t="str">
        <f ca="1">VLOOKUP(B10,'PRODUCT DETAILS'!A5:F14,6,0)</f>
        <v>C1</v>
      </c>
    </row>
    <row r="11" spans="1:18">
      <c r="A11" s="16" t="s">
        <v>63</v>
      </c>
      <c r="B11" s="9" t="s">
        <v>34</v>
      </c>
      <c r="C11" s="9">
        <f ca="1" t="shared" si="0"/>
        <v>4</v>
      </c>
      <c r="D11" s="9" t="str">
        <f ca="1">IFERROR(VLOOKUP(B11,'PRODUCT DETAILS'!$A$2:$F$11,2,FALSE),"PRODUCT NOT FOUND")</f>
        <v>CPU</v>
      </c>
      <c r="E11" s="9" t="str">
        <f ca="1" t="shared" si="1"/>
        <v>CPU</v>
      </c>
      <c r="F11" s="9" t="str">
        <f t="shared" si="2"/>
        <v>ORD-P109-009</v>
      </c>
      <c r="G11" s="9" t="str">
        <f ca="1">VLOOKUP(B11,'PRODUCT DETAILS'!A5:F15,3,0)</f>
        <v>Accessories</v>
      </c>
      <c r="H11" s="10">
        <f ca="1">VLOOKUP(B11,'PRODUCT DETAILS'!A5:F15,4,0)</f>
        <v>60733</v>
      </c>
      <c r="I11" s="11">
        <f ca="1">VLOOKUP(B11,'PRODUCT DETAILS'!A6:F15,5,0)</f>
        <v>0.18</v>
      </c>
      <c r="J11" s="10">
        <f ca="1" t="shared" si="3"/>
        <v>242932</v>
      </c>
      <c r="K11" s="10">
        <f ca="1" t="shared" si="4"/>
        <v>43727.76</v>
      </c>
      <c r="L11" s="10">
        <f ca="1" t="shared" si="5"/>
        <v>286659.76</v>
      </c>
      <c r="M11" s="9" t="str">
        <f ca="1">VLOOKUP(B11,'PRODUCT DETAILS'!A6:F15,6,0)</f>
        <v>B2</v>
      </c>
    </row>
    <row r="12" spans="1:18">
      <c r="A12" s="16" t="s">
        <v>64</v>
      </c>
      <c r="B12" s="9" t="s">
        <v>27</v>
      </c>
      <c r="C12" s="9">
        <f ca="1" t="shared" si="0"/>
        <v>2</v>
      </c>
      <c r="D12" s="9" t="str">
        <f ca="1">IFERROR(VLOOKUP(B12,'PRODUCT DETAILS'!$A$2:$F$11,2,FALSE),"PRODUCT NOT FOUND")</f>
        <v>Webcam</v>
      </c>
      <c r="E12" s="9" t="str">
        <f ca="1" t="shared" si="1"/>
        <v>WEB</v>
      </c>
      <c r="F12" s="9" t="str">
        <f t="shared" si="2"/>
        <v>ORD-P107-010</v>
      </c>
      <c r="G12" s="9" t="str">
        <f ca="1">VLOOKUP(B12,'PRODUCT DETAILS'!A6:F16,3,0)</f>
        <v>Electronics</v>
      </c>
      <c r="H12" s="10">
        <f ca="1">VLOOKUP(B12,'PRODUCT DETAILS'!A6:F16,4,0)</f>
        <v>58097</v>
      </c>
      <c r="I12" s="11">
        <f ca="1">VLOOKUP(B12,'PRODUCT DETAILS'!A7:F16,5,0)</f>
        <v>0.18</v>
      </c>
      <c r="J12" s="10">
        <f ca="1" t="shared" si="3"/>
        <v>116194</v>
      </c>
      <c r="K12" s="10">
        <f ca="1" t="shared" si="4"/>
        <v>20914.92</v>
      </c>
      <c r="L12" s="10">
        <f ca="1" t="shared" si="5"/>
        <v>137108.92</v>
      </c>
      <c r="M12" s="9" t="str">
        <f ca="1">VLOOKUP(B12,'PRODUCT DETAILS'!A7:F16,6,0)</f>
        <v>C2</v>
      </c>
    </row>
  </sheetData>
  <mergeCells count="4">
    <mergeCell ref="A1:F1"/>
    <mergeCell ref="G1:L1"/>
    <mergeCell ref="O1:Q1"/>
    <mergeCell ref="O6:R6"/>
  </mergeCells>
  <dataValidations count="1">
    <dataValidation type="list" allowBlank="1" showInputMessage="1" showErrorMessage="1" sqref="B3:B13">
      <formula1>"P101,P102,P103,P104,P105,P106,P107,P108,P109,P110"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 DETAILS</vt:lpstr>
      <vt:lpstr>SALES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Shradha</cp:lastModifiedBy>
  <dcterms:created xsi:type="dcterms:W3CDTF">2026-07-18T10:43:00Z</dcterms:created>
  <dcterms:modified xsi:type="dcterms:W3CDTF">2026-07-31T15:35:28Z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1033-12.1.0.27458</vt:lpwstr>
  </property>
  <property fmtid="{D5CDD505-2E9C-101B-9397-08002B2CF9AE}" pid="3" name="CalculationRule">
    <vt:i4>0</vt:i4>
  </property>
  <property fmtid="{D5CDD505-2E9C-101B-9397-08002B2CF9AE}" pid="4" name="ICV">
    <vt:lpwstr>87743BDEF06A4B93A53D0E145ABA2CB0_13</vt:lpwstr>
  </property>
</Properties>
</file>