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ASSIGNMENT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<sst xmlns="http://schemas.openxmlformats.org/spreadsheetml/2006/main" count="327" uniqueCount="156">
  <si>
    <t>EMPLOYEE DETAILS</t>
  </si>
  <si>
    <t>SALARY STRUCTURE</t>
  </si>
  <si>
    <t>PAYROLL SUMMARY</t>
  </si>
  <si>
    <t>Employee_ID</t>
  </si>
  <si>
    <t>Employee_Name</t>
  </si>
  <si>
    <t>Department</t>
  </si>
  <si>
    <t>Designation</t>
  </si>
  <si>
    <t>Joining_Date</t>
  </si>
  <si>
    <t>Annual_CTC</t>
  </si>
  <si>
    <t>Monthly_CTC</t>
  </si>
  <si>
    <t>BASIC</t>
  </si>
  <si>
    <t>HRA</t>
  </si>
  <si>
    <t>Special_Allowance</t>
  </si>
  <si>
    <t>Food_Allowance</t>
  </si>
  <si>
    <t>Travel_Allowance</t>
  </si>
  <si>
    <t>Medical_Allowance</t>
  </si>
  <si>
    <t>Employee_PF</t>
  </si>
  <si>
    <t>Employer_PF</t>
  </si>
  <si>
    <t>Professional_TAX</t>
  </si>
  <si>
    <t>Gross_Salary</t>
  </si>
  <si>
    <t>Total_Deduction</t>
  </si>
  <si>
    <t>Net_Pay</t>
  </si>
  <si>
    <t>Lokesh Jena</t>
  </si>
  <si>
    <t>IT</t>
  </si>
  <si>
    <t>Software Developer</t>
  </si>
  <si>
    <t>Nisha Verma</t>
  </si>
  <si>
    <t>Finance</t>
  </si>
  <si>
    <t>Finance Executive</t>
  </si>
  <si>
    <t>Akash Roy</t>
  </si>
  <si>
    <t>Admin</t>
  </si>
  <si>
    <t>Administrative Officer</t>
  </si>
  <si>
    <t>Lalit Nayak</t>
  </si>
  <si>
    <t>Marketing</t>
  </si>
  <si>
    <t>Marketing Executive</t>
  </si>
  <si>
    <t>Anmol Verma</t>
  </si>
  <si>
    <t>Operations</t>
  </si>
  <si>
    <t>Operations Manager</t>
  </si>
  <si>
    <t>Kartik Singh</t>
  </si>
  <si>
    <t>Simran Patel</t>
  </si>
  <si>
    <t>Sales</t>
  </si>
  <si>
    <t>Sales Executive</t>
  </si>
  <si>
    <t>Chirag Mishra</t>
  </si>
  <si>
    <t>Shubham Panda</t>
  </si>
  <si>
    <t>Operations Executive</t>
  </si>
  <si>
    <t>Kavya Singh</t>
  </si>
  <si>
    <t>Digital Marketing Executive</t>
  </si>
  <si>
    <t>Keshav Verma</t>
  </si>
  <si>
    <t>HR</t>
  </si>
  <si>
    <t>HR Manager</t>
  </si>
  <si>
    <t>Sameer Mohanty</t>
  </si>
  <si>
    <t>Shreya Das</t>
  </si>
  <si>
    <t>Financial Analyst</t>
  </si>
  <si>
    <t>Karan Verma</t>
  </si>
  <si>
    <t>Nikhil Sahoo</t>
  </si>
  <si>
    <t>Administrative Assistant</t>
  </si>
  <si>
    <t>Tushar Singh</t>
  </si>
  <si>
    <t>Marketing Manager</t>
  </si>
  <si>
    <t>Meera Jena</t>
  </si>
  <si>
    <t>Muskan Kumar</t>
  </si>
  <si>
    <t>Praveen Behera</t>
  </si>
  <si>
    <t>Finance Manager</t>
  </si>
  <si>
    <t>Deepak Panda</t>
  </si>
  <si>
    <t>Rohit Behera</t>
  </si>
  <si>
    <t>Krish Das</t>
  </si>
  <si>
    <t>IT Support Engineer</t>
  </si>
  <si>
    <t>Sneha Roy</t>
  </si>
  <si>
    <t>Software Engineer</t>
  </si>
  <si>
    <t>Abhishek Jena</t>
  </si>
  <si>
    <t>Harsh Patel</t>
  </si>
  <si>
    <t>Rohan Kumar</t>
  </si>
  <si>
    <t>Vivek Swain</t>
  </si>
  <si>
    <t>Operations Coordinator</t>
  </si>
  <si>
    <t>Ankit Mohanty</t>
  </si>
  <si>
    <t>System Analyst</t>
  </si>
  <si>
    <t>Dev Malhot</t>
  </si>
  <si>
    <t>Bhavna Swain</t>
  </si>
  <si>
    <t>Ashish Jena</t>
  </si>
  <si>
    <t>Ayush Nayak</t>
  </si>
  <si>
    <t>Kriti Sharma</t>
  </si>
  <si>
    <t>Komal Mohanty</t>
  </si>
  <si>
    <t>Nandini Sharma</t>
  </si>
  <si>
    <t>Sales Manager</t>
  </si>
  <si>
    <t>Laksh Sharma</t>
  </si>
  <si>
    <t>Sakshi Gupta</t>
  </si>
  <si>
    <t>Yash Gupta</t>
  </si>
  <si>
    <t>Ishaan Panda</t>
  </si>
  <si>
    <t>Rahul Mishra</t>
  </si>
  <si>
    <t>Aditi Swain</t>
  </si>
  <si>
    <t>Anurag Mohanty</t>
  </si>
  <si>
    <t>Pankaj Behera</t>
  </si>
  <si>
    <t>Senior Accountant</t>
  </si>
  <si>
    <t>Aryan Sharma</t>
  </si>
  <si>
    <t>Prakash Sethi</t>
  </si>
  <si>
    <t>Business Analyst</t>
  </si>
  <si>
    <t>Tanmay Nayak</t>
  </si>
  <si>
    <t>Nitin Rout</t>
  </si>
  <si>
    <t>Vihaan Mohanty</t>
  </si>
  <si>
    <t>HR Executive</t>
  </si>
  <si>
    <t>Ayaan Swain</t>
  </si>
  <si>
    <t>Atharv Roy</t>
  </si>
  <si>
    <t>Gaurav Sahoo</t>
  </si>
  <si>
    <t>Sumit Verma</t>
  </si>
  <si>
    <t>Dhruv Patel</t>
  </si>
  <si>
    <t>Rakesh Patel</t>
  </si>
  <si>
    <t>Suraj Sharma</t>
  </si>
  <si>
    <t>Shruti Patel</t>
  </si>
  <si>
    <t>Chetan Sahoo</t>
  </si>
  <si>
    <t>Sagar Rout</t>
  </si>
  <si>
    <t>Vivaan Patel</t>
  </si>
  <si>
    <t>Siddharth Roy</t>
  </si>
  <si>
    <t>Accountant</t>
  </si>
  <si>
    <t>Ritesh Kumar</t>
  </si>
  <si>
    <t>Aarav Sharma</t>
  </si>
  <si>
    <t>Diya Singh</t>
  </si>
  <si>
    <t>Advik Sahoo</t>
  </si>
  <si>
    <t>Aman Gupta</t>
  </si>
  <si>
    <t>Hemant Kumar</t>
  </si>
  <si>
    <t>Monika Nayak</t>
  </si>
  <si>
    <t>Vinay Swain</t>
  </si>
  <si>
    <t>Aishwarya Roy</t>
  </si>
  <si>
    <t>Adarsh Gupta</t>
  </si>
  <si>
    <t>Arnav Gupta</t>
  </si>
  <si>
    <t>Mayank Roy</t>
  </si>
  <si>
    <t>Pooja Sharma</t>
  </si>
  <si>
    <t>Sonia Das</t>
  </si>
  <si>
    <t>Rupal Jena</t>
  </si>
  <si>
    <t>Neha Gupta</t>
  </si>
  <si>
    <t>Aditya Singh</t>
  </si>
  <si>
    <t>Tanvi Roy</t>
  </si>
  <si>
    <t>Priya Mishra</t>
  </si>
  <si>
    <t>Manish Panda</t>
  </si>
  <si>
    <t>Rajat Das</t>
  </si>
  <si>
    <t>Ritika Panda</t>
  </si>
  <si>
    <t>Varun Das</t>
  </si>
  <si>
    <t>Naveen Rout</t>
  </si>
  <si>
    <t>Deepika Sahoo</t>
  </si>
  <si>
    <t>Tarun Das</t>
  </si>
  <si>
    <t>Isha Nayak</t>
  </si>
  <si>
    <t>Mohit Das</t>
  </si>
  <si>
    <t>Nikita Kumar</t>
  </si>
  <si>
    <t>Reyansh Mishra</t>
  </si>
  <si>
    <t>Shaurya Kumar</t>
  </si>
  <si>
    <t>Parth Singh</t>
  </si>
  <si>
    <t>Payal Mishra</t>
  </si>
  <si>
    <t>Kunal Das</t>
  </si>
  <si>
    <t>Sahil Mishra</t>
  </si>
  <si>
    <t>Ananya Das</t>
  </si>
  <si>
    <t>Om Patel</t>
  </si>
  <si>
    <t>Vikas Sharma</t>
  </si>
  <si>
    <t>Riya Patel</t>
  </si>
  <si>
    <t>Arjun Das</t>
  </si>
  <si>
    <t>BONUS ANALYSIS</t>
  </si>
  <si>
    <t>Highest Net Pay</t>
  </si>
  <si>
    <t>Lowest Net Pay</t>
  </si>
  <si>
    <t>Average Net Pay</t>
  </si>
  <si>
    <t>Total Pay 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</si>
</sst>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  <numFmt numFmtId="181" formatCode="&quot;₹&quot;#,##0.00_);[Red]\(&quot;₹&quot;#,##0.00\)"/>
  </numFmts>
  <fonts count="29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0"/>
      <name val="Times New Roman"/>
      <charset val="134"/>
    </font>
    <font>
      <sz val="11"/>
      <color theme="0"/>
      <name val="Times New Roman"/>
      <charset val="134"/>
    </font>
    <font>
      <sz val="11"/>
      <color theme="0"/>
      <name val="Calibri"/>
      <charset val="134"/>
      <scheme val="minor"/>
    </font>
    <font>
      <b/>
      <sz val="11"/>
      <color theme="0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B92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13" applyNumberFormat="0" applyAlignment="0" applyProtection="0">
      <alignment vertical="center"/>
    </xf>
    <xf numFmtId="0" fontId="19" fillId="16" borderId="14" applyNumberFormat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21" fillId="1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80" fontId="3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81" fontId="2" fillId="2" borderId="4" xfId="0" applyNumberFormat="1" applyFont="1" applyFill="1" applyBorder="1" applyAlignment="1">
      <alignment horizontal="center" vertical="center"/>
    </xf>
    <xf numFmtId="181" fontId="3" fillId="2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80" fontId="5" fillId="4" borderId="5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181" fontId="5" fillId="0" borderId="4" xfId="0" applyNumberFormat="1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180" fontId="1" fillId="9" borderId="5" xfId="0" applyNumberFormat="1" applyFont="1" applyFill="1" applyBorder="1" applyAlignment="1">
      <alignment horizontal="center" vertical="center"/>
    </xf>
    <xf numFmtId="181" fontId="1" fillId="9" borderId="6" xfId="0" applyNumberFormat="1" applyFont="1" applyFill="1" applyBorder="1" applyAlignment="1">
      <alignment horizontal="center" vertical="center"/>
    </xf>
    <xf numFmtId="181" fontId="1" fillId="9" borderId="4" xfId="0" applyNumberFormat="1" applyFont="1" applyFill="1" applyBorder="1" applyAlignment="1">
      <alignment horizontal="center" vertical="center"/>
    </xf>
    <xf numFmtId="181" fontId="1" fillId="9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1" fontId="1" fillId="0" borderId="4" xfId="0" applyNumberFormat="1" applyFont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180" fontId="1" fillId="9" borderId="9" xfId="0" applyNumberFormat="1" applyFont="1" applyFill="1" applyBorder="1" applyAlignment="1">
      <alignment horizontal="center" vertical="center"/>
    </xf>
    <xf numFmtId="181" fontId="1" fillId="9" borderId="7" xfId="0" applyNumberFormat="1" applyFont="1" applyFill="1" applyBorder="1" applyAlignment="1">
      <alignment horizontal="center" vertical="center"/>
    </xf>
    <xf numFmtId="181" fontId="1" fillId="9" borderId="8" xfId="0" applyNumberFormat="1" applyFont="1" applyFill="1" applyBorder="1" applyAlignment="1">
      <alignment horizontal="center" vertical="center"/>
    </xf>
    <xf numFmtId="181" fontId="1" fillId="9" borderId="9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DE11C"/>
      <color rgb="00F0B9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6"/>
  <sheetViews>
    <sheetView tabSelected="1" zoomScale="63" zoomScaleNormal="63" zoomScaleSheetLayoutView="60" workbookViewId="0">
      <pane ySplit="2" topLeftCell="A57" activePane="bottomLeft" state="frozen"/>
      <selection/>
      <selection pane="bottomLeft" activeCell="J104" sqref="J104"/>
    </sheetView>
  </sheetViews>
  <sheetFormatPr defaultColWidth="10" defaultRowHeight="14.4"/>
  <cols>
    <col min="1" max="1" width="13.7777777777778" style="1" customWidth="1"/>
    <col min="2" max="2" width="16.8888888888889" style="1" customWidth="1"/>
    <col min="3" max="3" width="12.1111111111111" style="1" customWidth="1"/>
    <col min="4" max="4" width="25.5555555555556" style="1" customWidth="1"/>
    <col min="5" max="5" width="15.2222222222222" style="2" customWidth="1"/>
    <col min="6" max="6" width="15.6666666666667" customWidth="1"/>
    <col min="7" max="7" width="14.4444444444444" customWidth="1"/>
    <col min="8" max="8" width="14.7777777777778" customWidth="1"/>
    <col min="9" max="10" width="11.5555555555556" customWidth="1"/>
    <col min="11" max="11" width="18.6666666666667" customWidth="1"/>
    <col min="12" max="12" width="16.7777777777778" customWidth="1"/>
    <col min="13" max="13" width="17.8888888888889" customWidth="1"/>
    <col min="14" max="14" width="19.5555555555556" customWidth="1"/>
    <col min="15" max="15" width="13.8888888888889" customWidth="1"/>
    <col min="16" max="16" width="13.7777777777778" customWidth="1"/>
    <col min="17" max="17" width="18.1111111111111" customWidth="1"/>
    <col min="18" max="18" width="13.5555555555556" customWidth="1"/>
    <col min="19" max="19" width="13.5555555555556" style="3" customWidth="1"/>
    <col min="20" max="20" width="16.8888888888889" style="3" customWidth="1"/>
    <col min="21" max="21" width="13.2222222222222" style="3" customWidth="1"/>
  </cols>
  <sheetData>
    <row r="1" ht="15.6" spans="1:21">
      <c r="A1" s="4" t="s">
        <v>0</v>
      </c>
      <c r="B1" s="5"/>
      <c r="C1" s="5"/>
      <c r="D1" s="5"/>
      <c r="E1" s="6"/>
      <c r="G1" s="4" t="s">
        <v>1</v>
      </c>
      <c r="H1" s="7"/>
      <c r="I1" s="7"/>
      <c r="J1" s="7"/>
      <c r="K1" s="7"/>
      <c r="L1" s="7"/>
      <c r="M1" s="7"/>
      <c r="N1" s="7"/>
      <c r="O1" s="7"/>
      <c r="P1" s="7"/>
      <c r="Q1" s="8"/>
      <c r="S1" s="9" t="s">
        <v>2</v>
      </c>
      <c r="T1" s="10"/>
      <c r="U1" s="10"/>
    </row>
    <row r="2" spans="1:21">
      <c r="A2" s="11" t="s">
        <v>3</v>
      </c>
      <c r="B2" s="11" t="s">
        <v>4</v>
      </c>
      <c r="C2" s="11" t="s">
        <v>5</v>
      </c>
      <c r="D2" s="11" t="s">
        <v>6</v>
      </c>
      <c r="E2" s="12" t="s">
        <v>7</v>
      </c>
      <c r="F2" s="13"/>
      <c r="G2" s="14" t="s">
        <v>8</v>
      </c>
      <c r="H2" s="14" t="s">
        <v>9</v>
      </c>
      <c r="I2" s="15" t="s">
        <v>10</v>
      </c>
      <c r="J2" s="15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6" t="s">
        <v>16</v>
      </c>
      <c r="P2" s="16" t="s">
        <v>17</v>
      </c>
      <c r="Q2" s="17" t="s">
        <v>18</v>
      </c>
      <c r="R2" s="13"/>
      <c r="S2" s="15" t="s">
        <v>19</v>
      </c>
      <c r="T2" s="15" t="s">
        <v>20</v>
      </c>
      <c r="U2" s="18" t="s">
        <v>21</v>
      </c>
    </row>
    <row r="3" spans="1:21">
      <c r="A3" s="19">
        <v>134</v>
      </c>
      <c r="B3" s="20" t="s">
        <v>22</v>
      </c>
      <c r="C3" s="20" t="s">
        <v>23</v>
      </c>
      <c r="D3" s="20" t="s">
        <v>24</v>
      </c>
      <c r="E3" s="21">
        <v>44616</v>
      </c>
      <c r="G3" s="22">
        <f ca="1" t="shared" ref="G3:G66" si="0">RANDBETWEEN(850000,2000000)</f>
        <v>1289958</v>
      </c>
      <c r="H3" s="23">
        <f ca="1" t="shared" ref="H3:H66" si="1">G3/12</f>
        <v>107496.5</v>
      </c>
      <c r="I3" s="23">
        <f ca="1" t="shared" ref="I3:I66" si="2">H3*50%</f>
        <v>53748.25</v>
      </c>
      <c r="J3" s="23">
        <f ca="1" t="shared" ref="J3:J66" si="3">I3*40%</f>
        <v>21499.3</v>
      </c>
      <c r="K3" s="23">
        <f ca="1" t="shared" ref="K3:K66" si="4">I3*20%</f>
        <v>10749.65</v>
      </c>
      <c r="L3" s="23">
        <v>2500</v>
      </c>
      <c r="M3" s="23">
        <v>3000</v>
      </c>
      <c r="N3" s="23">
        <v>1500</v>
      </c>
      <c r="O3" s="23">
        <f ca="1" t="shared" ref="O3:O66" si="5">I3*12%</f>
        <v>6449.79</v>
      </c>
      <c r="P3" s="23">
        <f ca="1" t="shared" ref="P3:P66" si="6">I3*12%</f>
        <v>6449.79</v>
      </c>
      <c r="Q3" s="24">
        <v>200</v>
      </c>
      <c r="R3" s="25"/>
      <c r="S3" s="23">
        <f ca="1" t="shared" ref="S3:S66" si="7">SUM(I3:N3)</f>
        <v>92997.2</v>
      </c>
      <c r="T3" s="23">
        <f ca="1" t="shared" ref="T3:T66" si="8">O3+Q3</f>
        <v>6649.79</v>
      </c>
      <c r="U3" s="26">
        <f ca="1" t="shared" ref="U3:U66" si="9">S3-T3</f>
        <v>86347.41</v>
      </c>
    </row>
    <row r="4" spans="1:21">
      <c r="A4" s="19">
        <v>156</v>
      </c>
      <c r="B4" s="20" t="s">
        <v>25</v>
      </c>
      <c r="C4" s="20" t="s">
        <v>26</v>
      </c>
      <c r="D4" s="20" t="s">
        <v>27</v>
      </c>
      <c r="E4" s="21">
        <v>45278</v>
      </c>
      <c r="G4" s="22">
        <f ca="1" t="shared" si="0"/>
        <v>1470610</v>
      </c>
      <c r="H4" s="23">
        <f ca="1" t="shared" si="1"/>
        <v>122550.833333333</v>
      </c>
      <c r="I4" s="23">
        <f ca="1" t="shared" si="2"/>
        <v>61275.4166666667</v>
      </c>
      <c r="J4" s="23">
        <f ca="1" t="shared" si="3"/>
        <v>24510.1666666667</v>
      </c>
      <c r="K4" s="23">
        <f ca="1" t="shared" si="4"/>
        <v>12255.0833333333</v>
      </c>
      <c r="L4" s="23">
        <v>2500</v>
      </c>
      <c r="M4" s="23">
        <v>3000</v>
      </c>
      <c r="N4" s="23">
        <v>1500</v>
      </c>
      <c r="O4" s="23">
        <f ca="1" t="shared" si="5"/>
        <v>7353.05</v>
      </c>
      <c r="P4" s="23">
        <f ca="1" t="shared" si="6"/>
        <v>7353.05</v>
      </c>
      <c r="Q4" s="24">
        <v>200</v>
      </c>
      <c r="R4" s="25"/>
      <c r="S4" s="23">
        <f ca="1" t="shared" si="7"/>
        <v>105040.666666667</v>
      </c>
      <c r="T4" s="23">
        <f ca="1" t="shared" si="8"/>
        <v>7553.05</v>
      </c>
      <c r="U4" s="26">
        <f ca="1" t="shared" si="9"/>
        <v>97487.6166666667</v>
      </c>
    </row>
    <row r="5" spans="1:21">
      <c r="A5" s="19">
        <v>108</v>
      </c>
      <c r="B5" s="20" t="s">
        <v>28</v>
      </c>
      <c r="C5" s="20" t="s">
        <v>29</v>
      </c>
      <c r="D5" s="20" t="s">
        <v>30</v>
      </c>
      <c r="E5" s="21">
        <v>43787</v>
      </c>
      <c r="G5" s="22">
        <f ca="1" t="shared" si="0"/>
        <v>1281143</v>
      </c>
      <c r="H5" s="23">
        <f ca="1" t="shared" si="1"/>
        <v>106761.916666667</v>
      </c>
      <c r="I5" s="23">
        <f ca="1" t="shared" si="2"/>
        <v>53380.9583333333</v>
      </c>
      <c r="J5" s="23">
        <f ca="1" t="shared" si="3"/>
        <v>21352.3833333333</v>
      </c>
      <c r="K5" s="23">
        <f ca="1" t="shared" si="4"/>
        <v>10676.1916666667</v>
      </c>
      <c r="L5" s="23">
        <v>2500</v>
      </c>
      <c r="M5" s="23">
        <v>3000</v>
      </c>
      <c r="N5" s="23">
        <v>1500</v>
      </c>
      <c r="O5" s="23">
        <f ca="1" t="shared" si="5"/>
        <v>6405.715</v>
      </c>
      <c r="P5" s="23">
        <f ca="1" t="shared" si="6"/>
        <v>6405.715</v>
      </c>
      <c r="Q5" s="24">
        <v>200</v>
      </c>
      <c r="R5" s="25"/>
      <c r="S5" s="23">
        <f ca="1" t="shared" si="7"/>
        <v>92409.5333333333</v>
      </c>
      <c r="T5" s="23">
        <f ca="1" t="shared" si="8"/>
        <v>6605.715</v>
      </c>
      <c r="U5" s="26">
        <f ca="1" t="shared" si="9"/>
        <v>85803.8183333333</v>
      </c>
    </row>
    <row r="6" spans="1:21">
      <c r="A6" s="19">
        <v>188</v>
      </c>
      <c r="B6" s="20" t="s">
        <v>31</v>
      </c>
      <c r="C6" s="20" t="s">
        <v>32</v>
      </c>
      <c r="D6" s="20" t="s">
        <v>33</v>
      </c>
      <c r="E6" s="21">
        <v>45553</v>
      </c>
      <c r="G6" s="22">
        <f ca="1" t="shared" si="0"/>
        <v>1739480</v>
      </c>
      <c r="H6" s="23">
        <f ca="1" t="shared" si="1"/>
        <v>144956.666666667</v>
      </c>
      <c r="I6" s="23">
        <f ca="1" t="shared" si="2"/>
        <v>72478.3333333333</v>
      </c>
      <c r="J6" s="23">
        <f ca="1" t="shared" si="3"/>
        <v>28991.3333333333</v>
      </c>
      <c r="K6" s="23">
        <f ca="1" t="shared" si="4"/>
        <v>14495.6666666667</v>
      </c>
      <c r="L6" s="23">
        <v>2500</v>
      </c>
      <c r="M6" s="23">
        <v>3000</v>
      </c>
      <c r="N6" s="23">
        <v>1500</v>
      </c>
      <c r="O6" s="23">
        <f ca="1" t="shared" si="5"/>
        <v>8697.4</v>
      </c>
      <c r="P6" s="23">
        <f ca="1" t="shared" si="6"/>
        <v>8697.4</v>
      </c>
      <c r="Q6" s="24">
        <v>200</v>
      </c>
      <c r="R6" s="25"/>
      <c r="S6" s="23">
        <f ca="1" t="shared" si="7"/>
        <v>122965.333333333</v>
      </c>
      <c r="T6" s="23">
        <f ca="1" t="shared" si="8"/>
        <v>8897.4</v>
      </c>
      <c r="U6" s="26">
        <f ca="1" t="shared" si="9"/>
        <v>114067.933333333</v>
      </c>
    </row>
    <row r="7" spans="1:21">
      <c r="A7" s="19">
        <v>171</v>
      </c>
      <c r="B7" s="20" t="s">
        <v>34</v>
      </c>
      <c r="C7" s="20" t="s">
        <v>35</v>
      </c>
      <c r="D7" s="20" t="s">
        <v>36</v>
      </c>
      <c r="E7" s="21">
        <v>43958</v>
      </c>
      <c r="G7" s="22">
        <f ca="1" t="shared" si="0"/>
        <v>1052195</v>
      </c>
      <c r="H7" s="23">
        <f ca="1" t="shared" si="1"/>
        <v>87682.9166666667</v>
      </c>
      <c r="I7" s="23">
        <f ca="1" t="shared" si="2"/>
        <v>43841.4583333333</v>
      </c>
      <c r="J7" s="23">
        <f ca="1" t="shared" si="3"/>
        <v>17536.5833333333</v>
      </c>
      <c r="K7" s="23">
        <f ca="1" t="shared" si="4"/>
        <v>8768.29166666667</v>
      </c>
      <c r="L7" s="23">
        <v>2500</v>
      </c>
      <c r="M7" s="23">
        <v>3000</v>
      </c>
      <c r="N7" s="23">
        <v>1500</v>
      </c>
      <c r="O7" s="23">
        <f ca="1" t="shared" si="5"/>
        <v>5260.975</v>
      </c>
      <c r="P7" s="23">
        <f ca="1" t="shared" si="6"/>
        <v>5260.975</v>
      </c>
      <c r="Q7" s="24">
        <v>200</v>
      </c>
      <c r="R7" s="25"/>
      <c r="S7" s="23">
        <f ca="1" t="shared" si="7"/>
        <v>77146.3333333333</v>
      </c>
      <c r="T7" s="23">
        <f ca="1" t="shared" si="8"/>
        <v>5460.975</v>
      </c>
      <c r="U7" s="26">
        <f ca="1" t="shared" si="9"/>
        <v>71685.3583333333</v>
      </c>
    </row>
    <row r="8" spans="1:21">
      <c r="A8" s="19">
        <v>123</v>
      </c>
      <c r="B8" s="20" t="s">
        <v>37</v>
      </c>
      <c r="C8" s="20" t="s">
        <v>29</v>
      </c>
      <c r="D8" s="20" t="s">
        <v>30</v>
      </c>
      <c r="E8" s="21">
        <v>44273</v>
      </c>
      <c r="G8" s="22">
        <f ca="1" t="shared" si="0"/>
        <v>1049969</v>
      </c>
      <c r="H8" s="23">
        <f ca="1" t="shared" si="1"/>
        <v>87497.4166666667</v>
      </c>
      <c r="I8" s="23">
        <f ca="1" t="shared" si="2"/>
        <v>43748.7083333333</v>
      </c>
      <c r="J8" s="23">
        <f ca="1" t="shared" si="3"/>
        <v>17499.4833333333</v>
      </c>
      <c r="K8" s="23">
        <f ca="1" t="shared" si="4"/>
        <v>8749.74166666667</v>
      </c>
      <c r="L8" s="23">
        <v>2500</v>
      </c>
      <c r="M8" s="23">
        <v>3000</v>
      </c>
      <c r="N8" s="23">
        <v>1500</v>
      </c>
      <c r="O8" s="23">
        <f ca="1" t="shared" si="5"/>
        <v>5249.845</v>
      </c>
      <c r="P8" s="23">
        <f ca="1" t="shared" si="6"/>
        <v>5249.845</v>
      </c>
      <c r="Q8" s="24">
        <v>200</v>
      </c>
      <c r="R8" s="25"/>
      <c r="S8" s="23">
        <f ca="1" t="shared" si="7"/>
        <v>76997.9333333333</v>
      </c>
      <c r="T8" s="23">
        <f ca="1" t="shared" si="8"/>
        <v>5449.845</v>
      </c>
      <c r="U8" s="26">
        <f ca="1" t="shared" si="9"/>
        <v>71548.0883333333</v>
      </c>
    </row>
    <row r="9" spans="1:21">
      <c r="A9" s="19">
        <v>155</v>
      </c>
      <c r="B9" s="20" t="s">
        <v>38</v>
      </c>
      <c r="C9" s="20" t="s">
        <v>39</v>
      </c>
      <c r="D9" s="20" t="s">
        <v>40</v>
      </c>
      <c r="E9" s="21">
        <v>45244</v>
      </c>
      <c r="G9" s="22">
        <f ca="1" t="shared" si="0"/>
        <v>1119623</v>
      </c>
      <c r="H9" s="23">
        <f ca="1" t="shared" si="1"/>
        <v>93301.9166666667</v>
      </c>
      <c r="I9" s="23">
        <f ca="1" t="shared" si="2"/>
        <v>46650.9583333333</v>
      </c>
      <c r="J9" s="23">
        <f ca="1" t="shared" si="3"/>
        <v>18660.3833333333</v>
      </c>
      <c r="K9" s="23">
        <f ca="1" t="shared" si="4"/>
        <v>9330.19166666667</v>
      </c>
      <c r="L9" s="23">
        <v>2500</v>
      </c>
      <c r="M9" s="23">
        <v>3000</v>
      </c>
      <c r="N9" s="23">
        <v>1500</v>
      </c>
      <c r="O9" s="23">
        <f ca="1" t="shared" si="5"/>
        <v>5598.115</v>
      </c>
      <c r="P9" s="23">
        <f ca="1" t="shared" si="6"/>
        <v>5598.115</v>
      </c>
      <c r="Q9" s="24">
        <v>200</v>
      </c>
      <c r="R9" s="25"/>
      <c r="S9" s="23">
        <f ca="1" t="shared" si="7"/>
        <v>81641.5333333333</v>
      </c>
      <c r="T9" s="23">
        <f ca="1" t="shared" si="8"/>
        <v>5798.115</v>
      </c>
      <c r="U9" s="26">
        <f ca="1" t="shared" si="9"/>
        <v>75843.4183333333</v>
      </c>
    </row>
    <row r="10" spans="1:21">
      <c r="A10" s="19">
        <v>173</v>
      </c>
      <c r="B10" s="20" t="s">
        <v>41</v>
      </c>
      <c r="C10" s="20" t="s">
        <v>32</v>
      </c>
      <c r="D10" s="20" t="s">
        <v>33</v>
      </c>
      <c r="E10" s="21">
        <v>44174</v>
      </c>
      <c r="G10" s="22">
        <f ca="1" t="shared" si="0"/>
        <v>1102244</v>
      </c>
      <c r="H10" s="23">
        <f ca="1" t="shared" si="1"/>
        <v>91853.6666666667</v>
      </c>
      <c r="I10" s="23">
        <f ca="1" t="shared" si="2"/>
        <v>45926.8333333333</v>
      </c>
      <c r="J10" s="23">
        <f ca="1" t="shared" si="3"/>
        <v>18370.7333333333</v>
      </c>
      <c r="K10" s="23">
        <f ca="1" t="shared" si="4"/>
        <v>9185.36666666667</v>
      </c>
      <c r="L10" s="23">
        <v>2500</v>
      </c>
      <c r="M10" s="23">
        <v>3000</v>
      </c>
      <c r="N10" s="23">
        <v>1500</v>
      </c>
      <c r="O10" s="23">
        <f ca="1" t="shared" si="5"/>
        <v>5511.22</v>
      </c>
      <c r="P10" s="23">
        <f ca="1" t="shared" si="6"/>
        <v>5511.22</v>
      </c>
      <c r="Q10" s="24">
        <v>200</v>
      </c>
      <c r="R10" s="25"/>
      <c r="S10" s="23">
        <f ca="1" t="shared" si="7"/>
        <v>80482.9333333333</v>
      </c>
      <c r="T10" s="23">
        <f ca="1" t="shared" si="8"/>
        <v>5711.22</v>
      </c>
      <c r="U10" s="26">
        <f ca="1" t="shared" si="9"/>
        <v>74771.7133333333</v>
      </c>
    </row>
    <row r="11" spans="1:21">
      <c r="A11" s="19">
        <v>181</v>
      </c>
      <c r="B11" s="20" t="s">
        <v>42</v>
      </c>
      <c r="C11" s="20" t="s">
        <v>35</v>
      </c>
      <c r="D11" s="20" t="s">
        <v>43</v>
      </c>
      <c r="E11" s="21">
        <v>44903</v>
      </c>
      <c r="G11" s="22">
        <f ca="1" t="shared" si="0"/>
        <v>1467675</v>
      </c>
      <c r="H11" s="23">
        <f ca="1" t="shared" si="1"/>
        <v>122306.25</v>
      </c>
      <c r="I11" s="23">
        <f ca="1" t="shared" si="2"/>
        <v>61153.125</v>
      </c>
      <c r="J11" s="23">
        <f ca="1" t="shared" si="3"/>
        <v>24461.25</v>
      </c>
      <c r="K11" s="23">
        <f ca="1" t="shared" si="4"/>
        <v>12230.625</v>
      </c>
      <c r="L11" s="23">
        <v>2500</v>
      </c>
      <c r="M11" s="23">
        <v>3000</v>
      </c>
      <c r="N11" s="23">
        <v>1500</v>
      </c>
      <c r="O11" s="23">
        <f ca="1" t="shared" si="5"/>
        <v>7338.375</v>
      </c>
      <c r="P11" s="23">
        <f ca="1" t="shared" si="6"/>
        <v>7338.375</v>
      </c>
      <c r="Q11" s="24">
        <v>200</v>
      </c>
      <c r="R11" s="25"/>
      <c r="S11" s="23">
        <f ca="1" t="shared" si="7"/>
        <v>104845</v>
      </c>
      <c r="T11" s="23">
        <f ca="1" t="shared" si="8"/>
        <v>7538.375</v>
      </c>
      <c r="U11" s="26">
        <f ca="1" t="shared" si="9"/>
        <v>97306.625</v>
      </c>
    </row>
    <row r="12" spans="1:21">
      <c r="A12" s="19">
        <v>163</v>
      </c>
      <c r="B12" s="20" t="s">
        <v>44</v>
      </c>
      <c r="C12" s="20" t="s">
        <v>32</v>
      </c>
      <c r="D12" s="20" t="s">
        <v>45</v>
      </c>
      <c r="E12" s="21">
        <v>45482</v>
      </c>
      <c r="G12" s="22">
        <f ca="1" t="shared" si="0"/>
        <v>1438773</v>
      </c>
      <c r="H12" s="23">
        <f ca="1" t="shared" si="1"/>
        <v>119897.75</v>
      </c>
      <c r="I12" s="23">
        <f ca="1" t="shared" si="2"/>
        <v>59948.875</v>
      </c>
      <c r="J12" s="23">
        <f ca="1" t="shared" si="3"/>
        <v>23979.55</v>
      </c>
      <c r="K12" s="23">
        <f ca="1" t="shared" si="4"/>
        <v>11989.775</v>
      </c>
      <c r="L12" s="23">
        <v>2500</v>
      </c>
      <c r="M12" s="23">
        <v>3000</v>
      </c>
      <c r="N12" s="23">
        <v>1500</v>
      </c>
      <c r="O12" s="23">
        <f ca="1" t="shared" si="5"/>
        <v>7193.865</v>
      </c>
      <c r="P12" s="23">
        <f ca="1" t="shared" si="6"/>
        <v>7193.865</v>
      </c>
      <c r="Q12" s="24">
        <v>200</v>
      </c>
      <c r="R12" s="25"/>
      <c r="S12" s="23">
        <f ca="1" t="shared" si="7"/>
        <v>102918.2</v>
      </c>
      <c r="T12" s="23">
        <f ca="1" t="shared" si="8"/>
        <v>7393.865</v>
      </c>
      <c r="U12" s="26">
        <f ca="1" t="shared" si="9"/>
        <v>95524.335</v>
      </c>
    </row>
    <row r="13" spans="1:21">
      <c r="A13" s="19">
        <v>190</v>
      </c>
      <c r="B13" s="20" t="s">
        <v>46</v>
      </c>
      <c r="C13" s="20" t="s">
        <v>47</v>
      </c>
      <c r="D13" s="20" t="s">
        <v>48</v>
      </c>
      <c r="E13" s="21">
        <v>43564</v>
      </c>
      <c r="G13" s="22">
        <f ca="1" t="shared" si="0"/>
        <v>1035660</v>
      </c>
      <c r="H13" s="23">
        <f ca="1" t="shared" si="1"/>
        <v>86305</v>
      </c>
      <c r="I13" s="23">
        <f ca="1" t="shared" si="2"/>
        <v>43152.5</v>
      </c>
      <c r="J13" s="23">
        <f ca="1" t="shared" si="3"/>
        <v>17261</v>
      </c>
      <c r="K13" s="23">
        <f ca="1" t="shared" si="4"/>
        <v>8630.5</v>
      </c>
      <c r="L13" s="23">
        <v>2500</v>
      </c>
      <c r="M13" s="23">
        <v>3000</v>
      </c>
      <c r="N13" s="23">
        <v>1500</v>
      </c>
      <c r="O13" s="23">
        <f ca="1" t="shared" si="5"/>
        <v>5178.3</v>
      </c>
      <c r="P13" s="23">
        <f ca="1" t="shared" si="6"/>
        <v>5178.3</v>
      </c>
      <c r="Q13" s="24">
        <v>200</v>
      </c>
      <c r="R13" s="25"/>
      <c r="S13" s="23">
        <f ca="1" t="shared" si="7"/>
        <v>76044</v>
      </c>
      <c r="T13" s="23">
        <f ca="1" t="shared" si="8"/>
        <v>5378.3</v>
      </c>
      <c r="U13" s="26">
        <f ca="1" t="shared" si="9"/>
        <v>70665.7</v>
      </c>
    </row>
    <row r="14" spans="1:21">
      <c r="A14" s="19">
        <v>183</v>
      </c>
      <c r="B14" s="20" t="s">
        <v>49</v>
      </c>
      <c r="C14" s="20" t="s">
        <v>32</v>
      </c>
      <c r="D14" s="20" t="s">
        <v>33</v>
      </c>
      <c r="E14" s="21">
        <v>45105</v>
      </c>
      <c r="G14" s="22">
        <f ca="1" t="shared" si="0"/>
        <v>1776340</v>
      </c>
      <c r="H14" s="23">
        <f ca="1" t="shared" si="1"/>
        <v>148028.333333333</v>
      </c>
      <c r="I14" s="23">
        <f ca="1" t="shared" si="2"/>
        <v>74014.1666666667</v>
      </c>
      <c r="J14" s="23">
        <f ca="1" t="shared" si="3"/>
        <v>29605.6666666667</v>
      </c>
      <c r="K14" s="23">
        <f ca="1" t="shared" si="4"/>
        <v>14802.8333333333</v>
      </c>
      <c r="L14" s="23">
        <v>2500</v>
      </c>
      <c r="M14" s="23">
        <v>3000</v>
      </c>
      <c r="N14" s="23">
        <v>1500</v>
      </c>
      <c r="O14" s="23">
        <f ca="1" t="shared" si="5"/>
        <v>8881.7</v>
      </c>
      <c r="P14" s="23">
        <f ca="1" t="shared" si="6"/>
        <v>8881.7</v>
      </c>
      <c r="Q14" s="24">
        <v>200</v>
      </c>
      <c r="R14" s="25"/>
      <c r="S14" s="23">
        <f ca="1" t="shared" si="7"/>
        <v>125422.666666667</v>
      </c>
      <c r="T14" s="23">
        <f ca="1" t="shared" si="8"/>
        <v>9081.7</v>
      </c>
      <c r="U14" s="26">
        <f ca="1" t="shared" si="9"/>
        <v>116340.966666667</v>
      </c>
    </row>
    <row r="15" spans="1:21">
      <c r="A15" s="19">
        <v>152</v>
      </c>
      <c r="B15" s="20" t="s">
        <v>50</v>
      </c>
      <c r="C15" s="20" t="s">
        <v>26</v>
      </c>
      <c r="D15" s="20" t="s">
        <v>51</v>
      </c>
      <c r="E15" s="21">
        <v>45159</v>
      </c>
      <c r="G15" s="22">
        <f ca="1" t="shared" si="0"/>
        <v>859688</v>
      </c>
      <c r="H15" s="23">
        <f ca="1" t="shared" si="1"/>
        <v>71640.6666666667</v>
      </c>
      <c r="I15" s="23">
        <f ca="1" t="shared" si="2"/>
        <v>35820.3333333333</v>
      </c>
      <c r="J15" s="23">
        <f ca="1" t="shared" si="3"/>
        <v>14328.1333333333</v>
      </c>
      <c r="K15" s="23">
        <f ca="1" t="shared" si="4"/>
        <v>7164.06666666667</v>
      </c>
      <c r="L15" s="23">
        <v>2500</v>
      </c>
      <c r="M15" s="23">
        <v>3000</v>
      </c>
      <c r="N15" s="23">
        <v>1500</v>
      </c>
      <c r="O15" s="23">
        <f ca="1" t="shared" si="5"/>
        <v>4298.44</v>
      </c>
      <c r="P15" s="23">
        <f ca="1" t="shared" si="6"/>
        <v>4298.44</v>
      </c>
      <c r="Q15" s="24">
        <v>200</v>
      </c>
      <c r="R15" s="25"/>
      <c r="S15" s="23">
        <f ca="1" t="shared" si="7"/>
        <v>64312.5333333333</v>
      </c>
      <c r="T15" s="23">
        <f ca="1" t="shared" si="8"/>
        <v>4498.44</v>
      </c>
      <c r="U15" s="26">
        <f ca="1" t="shared" si="9"/>
        <v>59814.0933333333</v>
      </c>
    </row>
    <row r="16" spans="1:21">
      <c r="A16" s="19">
        <v>109</v>
      </c>
      <c r="B16" s="20" t="s">
        <v>52</v>
      </c>
      <c r="C16" s="20" t="s">
        <v>32</v>
      </c>
      <c r="D16" s="20" t="s">
        <v>33</v>
      </c>
      <c r="E16" s="21">
        <v>43810</v>
      </c>
      <c r="G16" s="22">
        <f ca="1" t="shared" si="0"/>
        <v>1077605</v>
      </c>
      <c r="H16" s="23">
        <f ca="1" t="shared" si="1"/>
        <v>89800.4166666667</v>
      </c>
      <c r="I16" s="23">
        <f ca="1" t="shared" si="2"/>
        <v>44900.2083333333</v>
      </c>
      <c r="J16" s="23">
        <f ca="1" t="shared" si="3"/>
        <v>17960.0833333333</v>
      </c>
      <c r="K16" s="23">
        <f ca="1" t="shared" si="4"/>
        <v>8980.04166666667</v>
      </c>
      <c r="L16" s="23">
        <v>2500</v>
      </c>
      <c r="M16" s="23">
        <v>3000</v>
      </c>
      <c r="N16" s="23">
        <v>1500</v>
      </c>
      <c r="O16" s="23">
        <f ca="1" t="shared" si="5"/>
        <v>5388.025</v>
      </c>
      <c r="P16" s="23">
        <f ca="1" t="shared" si="6"/>
        <v>5388.025</v>
      </c>
      <c r="Q16" s="24">
        <v>200</v>
      </c>
      <c r="R16" s="25"/>
      <c r="S16" s="23">
        <f ca="1" t="shared" si="7"/>
        <v>78840.3333333333</v>
      </c>
      <c r="T16" s="23">
        <f ca="1" t="shared" si="8"/>
        <v>5588.025</v>
      </c>
      <c r="U16" s="26">
        <f ca="1" t="shared" si="9"/>
        <v>73252.3083333333</v>
      </c>
    </row>
    <row r="17" spans="1:21">
      <c r="A17" s="19">
        <v>110</v>
      </c>
      <c r="B17" s="20" t="s">
        <v>53</v>
      </c>
      <c r="C17" s="20" t="s">
        <v>29</v>
      </c>
      <c r="D17" s="20" t="s">
        <v>54</v>
      </c>
      <c r="E17" s="21">
        <v>43840</v>
      </c>
      <c r="G17" s="22">
        <f ca="1" t="shared" si="0"/>
        <v>1147193</v>
      </c>
      <c r="H17" s="23">
        <f ca="1" t="shared" si="1"/>
        <v>95599.4166666667</v>
      </c>
      <c r="I17" s="23">
        <f ca="1" t="shared" si="2"/>
        <v>47799.7083333333</v>
      </c>
      <c r="J17" s="23">
        <f ca="1" t="shared" si="3"/>
        <v>19119.8833333333</v>
      </c>
      <c r="K17" s="23">
        <f ca="1" t="shared" si="4"/>
        <v>9559.94166666667</v>
      </c>
      <c r="L17" s="23">
        <v>2500</v>
      </c>
      <c r="M17" s="23">
        <v>3000</v>
      </c>
      <c r="N17" s="23">
        <v>1500</v>
      </c>
      <c r="O17" s="23">
        <f ca="1" t="shared" si="5"/>
        <v>5735.965</v>
      </c>
      <c r="P17" s="23">
        <f ca="1" t="shared" si="6"/>
        <v>5735.965</v>
      </c>
      <c r="Q17" s="24">
        <v>200</v>
      </c>
      <c r="R17" s="25"/>
      <c r="S17" s="23">
        <f ca="1" t="shared" si="7"/>
        <v>83479.5333333333</v>
      </c>
      <c r="T17" s="23">
        <f ca="1" t="shared" si="8"/>
        <v>5935.965</v>
      </c>
      <c r="U17" s="26">
        <f ca="1" t="shared" si="9"/>
        <v>77543.5683333333</v>
      </c>
    </row>
    <row r="18" spans="1:21">
      <c r="A18" s="19">
        <v>178</v>
      </c>
      <c r="B18" s="20" t="s">
        <v>55</v>
      </c>
      <c r="C18" s="20" t="s">
        <v>32</v>
      </c>
      <c r="D18" s="20" t="s">
        <v>56</v>
      </c>
      <c r="E18" s="21">
        <v>44629</v>
      </c>
      <c r="G18" s="22">
        <f ca="1" t="shared" si="0"/>
        <v>1753743</v>
      </c>
      <c r="H18" s="23">
        <f ca="1" t="shared" si="1"/>
        <v>146145.25</v>
      </c>
      <c r="I18" s="23">
        <f ca="1" t="shared" si="2"/>
        <v>73072.625</v>
      </c>
      <c r="J18" s="23">
        <f ca="1" t="shared" si="3"/>
        <v>29229.05</v>
      </c>
      <c r="K18" s="23">
        <f ca="1" t="shared" si="4"/>
        <v>14614.525</v>
      </c>
      <c r="L18" s="23">
        <v>2500</v>
      </c>
      <c r="M18" s="23">
        <v>3000</v>
      </c>
      <c r="N18" s="23">
        <v>1500</v>
      </c>
      <c r="O18" s="23">
        <f ca="1" t="shared" si="5"/>
        <v>8768.715</v>
      </c>
      <c r="P18" s="23">
        <f ca="1" t="shared" si="6"/>
        <v>8768.715</v>
      </c>
      <c r="Q18" s="24">
        <v>200</v>
      </c>
      <c r="R18" s="25"/>
      <c r="S18" s="23">
        <f ca="1" t="shared" si="7"/>
        <v>123916.2</v>
      </c>
      <c r="T18" s="23">
        <f ca="1" t="shared" si="8"/>
        <v>8968.715</v>
      </c>
      <c r="U18" s="26">
        <f ca="1" t="shared" si="9"/>
        <v>114947.485</v>
      </c>
    </row>
    <row r="19" spans="1:21">
      <c r="A19" s="19">
        <v>151</v>
      </c>
      <c r="B19" s="20" t="s">
        <v>57</v>
      </c>
      <c r="C19" s="20" t="s">
        <v>35</v>
      </c>
      <c r="D19" s="20" t="s">
        <v>43</v>
      </c>
      <c r="E19" s="21">
        <v>45118</v>
      </c>
      <c r="G19" s="22">
        <f ca="1" t="shared" si="0"/>
        <v>1899061</v>
      </c>
      <c r="H19" s="23">
        <f ca="1" t="shared" si="1"/>
        <v>158255.083333333</v>
      </c>
      <c r="I19" s="23">
        <f ca="1" t="shared" si="2"/>
        <v>79127.5416666667</v>
      </c>
      <c r="J19" s="23">
        <f ca="1" t="shared" si="3"/>
        <v>31651.0166666667</v>
      </c>
      <c r="K19" s="23">
        <f ca="1" t="shared" si="4"/>
        <v>15825.5083333333</v>
      </c>
      <c r="L19" s="23">
        <v>2500</v>
      </c>
      <c r="M19" s="23">
        <v>3000</v>
      </c>
      <c r="N19" s="23">
        <v>1500</v>
      </c>
      <c r="O19" s="23">
        <f ca="1" t="shared" si="5"/>
        <v>9495.305</v>
      </c>
      <c r="P19" s="23">
        <f ca="1" t="shared" si="6"/>
        <v>9495.305</v>
      </c>
      <c r="Q19" s="24">
        <v>200</v>
      </c>
      <c r="R19" s="25"/>
      <c r="S19" s="23">
        <f ca="1" t="shared" si="7"/>
        <v>133604.066666667</v>
      </c>
      <c r="T19" s="23">
        <f ca="1" t="shared" si="8"/>
        <v>9695.305</v>
      </c>
      <c r="U19" s="26">
        <f ca="1" t="shared" si="9"/>
        <v>123908.761666667</v>
      </c>
    </row>
    <row r="20" spans="1:21">
      <c r="A20" s="19">
        <v>150</v>
      </c>
      <c r="B20" s="20" t="s">
        <v>58</v>
      </c>
      <c r="C20" s="20" t="s">
        <v>47</v>
      </c>
      <c r="D20" s="20" t="s">
        <v>48</v>
      </c>
      <c r="E20" s="21">
        <v>45093</v>
      </c>
      <c r="G20" s="22">
        <f ca="1" t="shared" si="0"/>
        <v>1540590</v>
      </c>
      <c r="H20" s="23">
        <f ca="1" t="shared" si="1"/>
        <v>128382.5</v>
      </c>
      <c r="I20" s="23">
        <f ca="1" t="shared" si="2"/>
        <v>64191.25</v>
      </c>
      <c r="J20" s="23">
        <f ca="1" t="shared" si="3"/>
        <v>25676.5</v>
      </c>
      <c r="K20" s="23">
        <f ca="1" t="shared" si="4"/>
        <v>12838.25</v>
      </c>
      <c r="L20" s="23">
        <v>2500</v>
      </c>
      <c r="M20" s="23">
        <v>3000</v>
      </c>
      <c r="N20" s="23">
        <v>1500</v>
      </c>
      <c r="O20" s="23">
        <f ca="1" t="shared" si="5"/>
        <v>7702.95</v>
      </c>
      <c r="P20" s="23">
        <f ca="1" t="shared" si="6"/>
        <v>7702.95</v>
      </c>
      <c r="Q20" s="24">
        <v>200</v>
      </c>
      <c r="R20" s="25"/>
      <c r="S20" s="23">
        <f ca="1" t="shared" si="7"/>
        <v>109706</v>
      </c>
      <c r="T20" s="23">
        <f ca="1" t="shared" si="8"/>
        <v>7902.95</v>
      </c>
      <c r="U20" s="26">
        <f ca="1" t="shared" si="9"/>
        <v>101803.05</v>
      </c>
    </row>
    <row r="21" spans="1:21">
      <c r="A21" s="19">
        <v>187</v>
      </c>
      <c r="B21" s="20" t="s">
        <v>59</v>
      </c>
      <c r="C21" s="20" t="s">
        <v>26</v>
      </c>
      <c r="D21" s="20" t="s">
        <v>60</v>
      </c>
      <c r="E21" s="21">
        <v>45467</v>
      </c>
      <c r="G21" s="22">
        <f ca="1" t="shared" si="0"/>
        <v>1776279</v>
      </c>
      <c r="H21" s="23">
        <f ca="1" t="shared" si="1"/>
        <v>148023.25</v>
      </c>
      <c r="I21" s="23">
        <f ca="1" t="shared" si="2"/>
        <v>74011.625</v>
      </c>
      <c r="J21" s="23">
        <f ca="1" t="shared" si="3"/>
        <v>29604.65</v>
      </c>
      <c r="K21" s="23">
        <f ca="1" t="shared" si="4"/>
        <v>14802.325</v>
      </c>
      <c r="L21" s="23">
        <v>2500</v>
      </c>
      <c r="M21" s="23">
        <v>3000</v>
      </c>
      <c r="N21" s="23">
        <v>1500</v>
      </c>
      <c r="O21" s="23">
        <f ca="1" t="shared" si="5"/>
        <v>8881.395</v>
      </c>
      <c r="P21" s="23">
        <f ca="1" t="shared" si="6"/>
        <v>8881.395</v>
      </c>
      <c r="Q21" s="24">
        <v>200</v>
      </c>
      <c r="R21" s="25"/>
      <c r="S21" s="23">
        <f ca="1" t="shared" si="7"/>
        <v>125418.6</v>
      </c>
      <c r="T21" s="23">
        <f ca="1" t="shared" si="8"/>
        <v>9081.395</v>
      </c>
      <c r="U21" s="26">
        <f ca="1" t="shared" si="9"/>
        <v>116337.205</v>
      </c>
    </row>
    <row r="22" spans="1:21">
      <c r="A22" s="19">
        <v>133</v>
      </c>
      <c r="B22" s="20" t="s">
        <v>61</v>
      </c>
      <c r="C22" s="20" t="s">
        <v>32</v>
      </c>
      <c r="D22" s="20" t="s">
        <v>56</v>
      </c>
      <c r="E22" s="21">
        <v>44578</v>
      </c>
      <c r="G22" s="22">
        <f ca="1" t="shared" si="0"/>
        <v>1547249</v>
      </c>
      <c r="H22" s="23">
        <f ca="1" t="shared" si="1"/>
        <v>128937.416666667</v>
      </c>
      <c r="I22" s="23">
        <f ca="1" t="shared" si="2"/>
        <v>64468.7083333333</v>
      </c>
      <c r="J22" s="23">
        <f ca="1" t="shared" si="3"/>
        <v>25787.4833333333</v>
      </c>
      <c r="K22" s="23">
        <f ca="1" t="shared" si="4"/>
        <v>12893.7416666667</v>
      </c>
      <c r="L22" s="23">
        <v>2500</v>
      </c>
      <c r="M22" s="23">
        <v>3000</v>
      </c>
      <c r="N22" s="23">
        <v>1500</v>
      </c>
      <c r="O22" s="23">
        <f ca="1" t="shared" si="5"/>
        <v>7736.245</v>
      </c>
      <c r="P22" s="23">
        <f ca="1" t="shared" si="6"/>
        <v>7736.245</v>
      </c>
      <c r="Q22" s="24">
        <v>200</v>
      </c>
      <c r="R22" s="25"/>
      <c r="S22" s="23">
        <f ca="1" t="shared" si="7"/>
        <v>110149.933333333</v>
      </c>
      <c r="T22" s="23">
        <f ca="1" t="shared" si="8"/>
        <v>7936.245</v>
      </c>
      <c r="U22" s="26">
        <f ca="1" t="shared" si="9"/>
        <v>102213.688333333</v>
      </c>
    </row>
    <row r="23" spans="1:21">
      <c r="A23" s="19">
        <v>117</v>
      </c>
      <c r="B23" s="20" t="s">
        <v>62</v>
      </c>
      <c r="C23" s="20" t="s">
        <v>32</v>
      </c>
      <c r="D23" s="20" t="s">
        <v>45</v>
      </c>
      <c r="E23" s="21">
        <v>44054</v>
      </c>
      <c r="G23" s="22">
        <f ca="1" t="shared" si="0"/>
        <v>1674773</v>
      </c>
      <c r="H23" s="23">
        <f ca="1" t="shared" si="1"/>
        <v>139564.416666667</v>
      </c>
      <c r="I23" s="23">
        <f ca="1" t="shared" si="2"/>
        <v>69782.2083333333</v>
      </c>
      <c r="J23" s="23">
        <f ca="1" t="shared" si="3"/>
        <v>27912.8833333333</v>
      </c>
      <c r="K23" s="23">
        <f ca="1" t="shared" si="4"/>
        <v>13956.4416666667</v>
      </c>
      <c r="L23" s="23">
        <v>2500</v>
      </c>
      <c r="M23" s="23">
        <v>3000</v>
      </c>
      <c r="N23" s="23">
        <v>1500</v>
      </c>
      <c r="O23" s="23">
        <f ca="1" t="shared" si="5"/>
        <v>8373.865</v>
      </c>
      <c r="P23" s="23">
        <f ca="1" t="shared" si="6"/>
        <v>8373.865</v>
      </c>
      <c r="Q23" s="24">
        <v>200</v>
      </c>
      <c r="R23" s="25"/>
      <c r="S23" s="23">
        <f ca="1" t="shared" si="7"/>
        <v>118651.533333333</v>
      </c>
      <c r="T23" s="23">
        <f ca="1" t="shared" si="8"/>
        <v>8573.865</v>
      </c>
      <c r="U23" s="26">
        <f ca="1" t="shared" si="9"/>
        <v>110077.668333333</v>
      </c>
    </row>
    <row r="24" spans="1:21">
      <c r="A24" s="19">
        <v>194</v>
      </c>
      <c r="B24" s="20" t="s">
        <v>63</v>
      </c>
      <c r="C24" s="20" t="s">
        <v>23</v>
      </c>
      <c r="D24" s="20" t="s">
        <v>64</v>
      </c>
      <c r="E24" s="21">
        <v>44064</v>
      </c>
      <c r="G24" s="22">
        <f ca="1" t="shared" si="0"/>
        <v>1473124</v>
      </c>
      <c r="H24" s="23">
        <f ca="1" t="shared" si="1"/>
        <v>122760.333333333</v>
      </c>
      <c r="I24" s="23">
        <f ca="1" t="shared" si="2"/>
        <v>61380.1666666667</v>
      </c>
      <c r="J24" s="23">
        <f ca="1" t="shared" si="3"/>
        <v>24552.0666666667</v>
      </c>
      <c r="K24" s="23">
        <f ca="1" t="shared" si="4"/>
        <v>12276.0333333333</v>
      </c>
      <c r="L24" s="23">
        <v>2500</v>
      </c>
      <c r="M24" s="23">
        <v>3000</v>
      </c>
      <c r="N24" s="23">
        <v>1500</v>
      </c>
      <c r="O24" s="23">
        <f ca="1" t="shared" si="5"/>
        <v>7365.62</v>
      </c>
      <c r="P24" s="23">
        <f ca="1" t="shared" si="6"/>
        <v>7365.62</v>
      </c>
      <c r="Q24" s="24">
        <v>200</v>
      </c>
      <c r="R24" s="25"/>
      <c r="S24" s="23">
        <f ca="1" t="shared" si="7"/>
        <v>105208.266666667</v>
      </c>
      <c r="T24" s="23">
        <f ca="1" t="shared" si="8"/>
        <v>7565.62</v>
      </c>
      <c r="U24" s="26">
        <f ca="1" t="shared" si="9"/>
        <v>97642.6466666667</v>
      </c>
    </row>
    <row r="25" spans="1:21">
      <c r="A25" s="19">
        <v>144</v>
      </c>
      <c r="B25" s="20" t="s">
        <v>65</v>
      </c>
      <c r="C25" s="20" t="s">
        <v>23</v>
      </c>
      <c r="D25" s="20" t="s">
        <v>66</v>
      </c>
      <c r="E25" s="21">
        <v>44914</v>
      </c>
      <c r="G25" s="22">
        <f ca="1" t="shared" si="0"/>
        <v>1645778</v>
      </c>
      <c r="H25" s="23">
        <f ca="1" t="shared" si="1"/>
        <v>137148.166666667</v>
      </c>
      <c r="I25" s="23">
        <f ca="1" t="shared" si="2"/>
        <v>68574.0833333333</v>
      </c>
      <c r="J25" s="23">
        <f ca="1" t="shared" si="3"/>
        <v>27429.6333333333</v>
      </c>
      <c r="K25" s="23">
        <f ca="1" t="shared" si="4"/>
        <v>13714.8166666667</v>
      </c>
      <c r="L25" s="23">
        <v>2500</v>
      </c>
      <c r="M25" s="23">
        <v>3000</v>
      </c>
      <c r="N25" s="23">
        <v>1500</v>
      </c>
      <c r="O25" s="23">
        <f ca="1" t="shared" si="5"/>
        <v>8228.89</v>
      </c>
      <c r="P25" s="23">
        <f ca="1" t="shared" si="6"/>
        <v>8228.89</v>
      </c>
      <c r="Q25" s="24">
        <v>200</v>
      </c>
      <c r="R25" s="25"/>
      <c r="S25" s="23">
        <f ca="1" t="shared" si="7"/>
        <v>116718.533333333</v>
      </c>
      <c r="T25" s="23">
        <f ca="1" t="shared" si="8"/>
        <v>8428.89</v>
      </c>
      <c r="U25" s="26">
        <f ca="1" t="shared" si="9"/>
        <v>108289.643333333</v>
      </c>
    </row>
    <row r="26" spans="1:21">
      <c r="A26" s="19">
        <v>111</v>
      </c>
      <c r="B26" s="20" t="s">
        <v>67</v>
      </c>
      <c r="C26" s="20" t="s">
        <v>35</v>
      </c>
      <c r="D26" s="20" t="s">
        <v>43</v>
      </c>
      <c r="E26" s="21">
        <v>43878</v>
      </c>
      <c r="G26" s="22">
        <f ca="1" t="shared" si="0"/>
        <v>1047621</v>
      </c>
      <c r="H26" s="23">
        <f ca="1" t="shared" si="1"/>
        <v>87301.75</v>
      </c>
      <c r="I26" s="23">
        <f ca="1" t="shared" si="2"/>
        <v>43650.875</v>
      </c>
      <c r="J26" s="23">
        <f ca="1" t="shared" si="3"/>
        <v>17460.35</v>
      </c>
      <c r="K26" s="23">
        <f ca="1" t="shared" si="4"/>
        <v>8730.175</v>
      </c>
      <c r="L26" s="23">
        <v>2500</v>
      </c>
      <c r="M26" s="23">
        <v>3000</v>
      </c>
      <c r="N26" s="23">
        <v>1500</v>
      </c>
      <c r="O26" s="23">
        <f ca="1" t="shared" si="5"/>
        <v>5238.105</v>
      </c>
      <c r="P26" s="23">
        <f ca="1" t="shared" si="6"/>
        <v>5238.105</v>
      </c>
      <c r="Q26" s="24">
        <v>200</v>
      </c>
      <c r="R26" s="25"/>
      <c r="S26" s="23">
        <f ca="1" t="shared" si="7"/>
        <v>76841.4</v>
      </c>
      <c r="T26" s="23">
        <f ca="1" t="shared" si="8"/>
        <v>5438.105</v>
      </c>
      <c r="U26" s="26">
        <f ca="1" t="shared" si="9"/>
        <v>71403.295</v>
      </c>
    </row>
    <row r="27" spans="1:21">
      <c r="A27" s="19">
        <v>122</v>
      </c>
      <c r="B27" s="20" t="s">
        <v>68</v>
      </c>
      <c r="C27" s="20" t="s">
        <v>35</v>
      </c>
      <c r="D27" s="20" t="s">
        <v>36</v>
      </c>
      <c r="E27" s="21">
        <v>44243</v>
      </c>
      <c r="G27" s="22">
        <f ca="1" t="shared" si="0"/>
        <v>1033487</v>
      </c>
      <c r="H27" s="23">
        <f ca="1" t="shared" si="1"/>
        <v>86123.9166666667</v>
      </c>
      <c r="I27" s="23">
        <f ca="1" t="shared" si="2"/>
        <v>43061.9583333333</v>
      </c>
      <c r="J27" s="23">
        <f ca="1" t="shared" si="3"/>
        <v>17224.7833333333</v>
      </c>
      <c r="K27" s="23">
        <f ca="1" t="shared" si="4"/>
        <v>8612.39166666667</v>
      </c>
      <c r="L27" s="23">
        <v>2500</v>
      </c>
      <c r="M27" s="23">
        <v>3000</v>
      </c>
      <c r="N27" s="23">
        <v>1500</v>
      </c>
      <c r="O27" s="23">
        <f ca="1" t="shared" si="5"/>
        <v>5167.435</v>
      </c>
      <c r="P27" s="23">
        <f ca="1" t="shared" si="6"/>
        <v>5167.435</v>
      </c>
      <c r="Q27" s="24">
        <v>200</v>
      </c>
      <c r="R27" s="25"/>
      <c r="S27" s="23">
        <f ca="1" t="shared" si="7"/>
        <v>75899.1333333333</v>
      </c>
      <c r="T27" s="23">
        <f ca="1" t="shared" si="8"/>
        <v>5367.435</v>
      </c>
      <c r="U27" s="26">
        <f ca="1" t="shared" si="9"/>
        <v>70531.6983333333</v>
      </c>
    </row>
    <row r="28" spans="1:21">
      <c r="A28" s="19">
        <v>106</v>
      </c>
      <c r="B28" s="20" t="s">
        <v>69</v>
      </c>
      <c r="C28" s="20" t="s">
        <v>39</v>
      </c>
      <c r="D28" s="20" t="s">
        <v>40</v>
      </c>
      <c r="E28" s="21">
        <v>43735</v>
      </c>
      <c r="G28" s="22">
        <f ca="1" t="shared" si="0"/>
        <v>1795187</v>
      </c>
      <c r="H28" s="23">
        <f ca="1" t="shared" si="1"/>
        <v>149598.916666667</v>
      </c>
      <c r="I28" s="23">
        <f ca="1" t="shared" si="2"/>
        <v>74799.4583333333</v>
      </c>
      <c r="J28" s="23">
        <f ca="1" t="shared" si="3"/>
        <v>29919.7833333333</v>
      </c>
      <c r="K28" s="23">
        <f ca="1" t="shared" si="4"/>
        <v>14959.8916666667</v>
      </c>
      <c r="L28" s="23">
        <v>2500</v>
      </c>
      <c r="M28" s="23">
        <v>3000</v>
      </c>
      <c r="N28" s="23">
        <v>1500</v>
      </c>
      <c r="O28" s="23">
        <f ca="1" t="shared" si="5"/>
        <v>8975.935</v>
      </c>
      <c r="P28" s="23">
        <f ca="1" t="shared" si="6"/>
        <v>8975.935</v>
      </c>
      <c r="Q28" s="24">
        <v>200</v>
      </c>
      <c r="R28" s="25"/>
      <c r="S28" s="23">
        <f ca="1" t="shared" si="7"/>
        <v>126679.133333333</v>
      </c>
      <c r="T28" s="23">
        <f ca="1" t="shared" si="8"/>
        <v>9175.935</v>
      </c>
      <c r="U28" s="26">
        <f ca="1" t="shared" si="9"/>
        <v>117503.198333333</v>
      </c>
    </row>
    <row r="29" spans="1:21">
      <c r="A29" s="19">
        <v>112</v>
      </c>
      <c r="B29" s="20" t="s">
        <v>70</v>
      </c>
      <c r="C29" s="20" t="s">
        <v>35</v>
      </c>
      <c r="D29" s="20" t="s">
        <v>71</v>
      </c>
      <c r="E29" s="21">
        <v>43916</v>
      </c>
      <c r="G29" s="22">
        <f ca="1" t="shared" si="0"/>
        <v>1999200</v>
      </c>
      <c r="H29" s="23">
        <f ca="1" t="shared" si="1"/>
        <v>166600</v>
      </c>
      <c r="I29" s="23">
        <f ca="1" t="shared" si="2"/>
        <v>83300</v>
      </c>
      <c r="J29" s="23">
        <f ca="1" t="shared" si="3"/>
        <v>33320</v>
      </c>
      <c r="K29" s="23">
        <f ca="1" t="shared" si="4"/>
        <v>16660</v>
      </c>
      <c r="L29" s="23">
        <v>2500</v>
      </c>
      <c r="M29" s="23">
        <v>3000</v>
      </c>
      <c r="N29" s="23">
        <v>1500</v>
      </c>
      <c r="O29" s="23">
        <f ca="1" t="shared" si="5"/>
        <v>9996</v>
      </c>
      <c r="P29" s="23">
        <f ca="1" t="shared" si="6"/>
        <v>9996</v>
      </c>
      <c r="Q29" s="24">
        <v>200</v>
      </c>
      <c r="R29" s="25"/>
      <c r="S29" s="23">
        <f ca="1" t="shared" si="7"/>
        <v>140280</v>
      </c>
      <c r="T29" s="23">
        <f ca="1" t="shared" si="8"/>
        <v>10196</v>
      </c>
      <c r="U29" s="26">
        <f ca="1" t="shared" si="9"/>
        <v>130084</v>
      </c>
    </row>
    <row r="30" spans="1:21">
      <c r="A30" s="19">
        <v>115</v>
      </c>
      <c r="B30" s="20" t="s">
        <v>72</v>
      </c>
      <c r="C30" s="20" t="s">
        <v>23</v>
      </c>
      <c r="D30" s="20" t="s">
        <v>73</v>
      </c>
      <c r="E30" s="21">
        <v>44006</v>
      </c>
      <c r="G30" s="22">
        <f ca="1" t="shared" si="0"/>
        <v>1850433</v>
      </c>
      <c r="H30" s="23">
        <f ca="1" t="shared" si="1"/>
        <v>154202.75</v>
      </c>
      <c r="I30" s="23">
        <f ca="1" t="shared" si="2"/>
        <v>77101.375</v>
      </c>
      <c r="J30" s="23">
        <f ca="1" t="shared" si="3"/>
        <v>30840.55</v>
      </c>
      <c r="K30" s="23">
        <f ca="1" t="shared" si="4"/>
        <v>15420.275</v>
      </c>
      <c r="L30" s="23">
        <v>2500</v>
      </c>
      <c r="M30" s="23">
        <v>3000</v>
      </c>
      <c r="N30" s="23">
        <v>1500</v>
      </c>
      <c r="O30" s="23">
        <f ca="1" t="shared" si="5"/>
        <v>9252.165</v>
      </c>
      <c r="P30" s="23">
        <f ca="1" t="shared" si="6"/>
        <v>9252.165</v>
      </c>
      <c r="Q30" s="24">
        <v>200</v>
      </c>
      <c r="R30" s="25"/>
      <c r="S30" s="23">
        <f ca="1" t="shared" si="7"/>
        <v>130362.2</v>
      </c>
      <c r="T30" s="23">
        <f ca="1" t="shared" si="8"/>
        <v>9452.165</v>
      </c>
      <c r="U30" s="26">
        <f ca="1" t="shared" si="9"/>
        <v>120910.035</v>
      </c>
    </row>
    <row r="31" spans="1:21">
      <c r="A31" s="19">
        <v>120</v>
      </c>
      <c r="B31" s="20" t="s">
        <v>74</v>
      </c>
      <c r="C31" s="20" t="s">
        <v>32</v>
      </c>
      <c r="D31" s="20" t="s">
        <v>56</v>
      </c>
      <c r="E31" s="21">
        <v>44148</v>
      </c>
      <c r="G31" s="22">
        <f ca="1" t="shared" si="0"/>
        <v>1101954</v>
      </c>
      <c r="H31" s="23">
        <f ca="1" t="shared" si="1"/>
        <v>91829.5</v>
      </c>
      <c r="I31" s="23">
        <f ca="1" t="shared" si="2"/>
        <v>45914.75</v>
      </c>
      <c r="J31" s="23">
        <f ca="1" t="shared" si="3"/>
        <v>18365.9</v>
      </c>
      <c r="K31" s="23">
        <f ca="1" t="shared" si="4"/>
        <v>9182.95</v>
      </c>
      <c r="L31" s="23">
        <v>2500</v>
      </c>
      <c r="M31" s="23">
        <v>3000</v>
      </c>
      <c r="N31" s="23">
        <v>1500</v>
      </c>
      <c r="O31" s="23">
        <f ca="1" t="shared" si="5"/>
        <v>5509.77</v>
      </c>
      <c r="P31" s="23">
        <f ca="1" t="shared" si="6"/>
        <v>5509.77</v>
      </c>
      <c r="Q31" s="24">
        <v>200</v>
      </c>
      <c r="R31" s="25"/>
      <c r="S31" s="23">
        <f ca="1" t="shared" si="7"/>
        <v>80463.6</v>
      </c>
      <c r="T31" s="23">
        <f ca="1" t="shared" si="8"/>
        <v>5709.77</v>
      </c>
      <c r="U31" s="26">
        <f ca="1" t="shared" si="9"/>
        <v>74753.83</v>
      </c>
    </row>
    <row r="32" spans="1:21">
      <c r="A32" s="19">
        <v>169</v>
      </c>
      <c r="B32" s="20" t="s">
        <v>75</v>
      </c>
      <c r="C32" s="20" t="s">
        <v>35</v>
      </c>
      <c r="D32" s="20" t="s">
        <v>43</v>
      </c>
      <c r="E32" s="21">
        <v>43742</v>
      </c>
      <c r="G32" s="22">
        <f ca="1" t="shared" si="0"/>
        <v>1236204</v>
      </c>
      <c r="H32" s="23">
        <f ca="1" t="shared" si="1"/>
        <v>103017</v>
      </c>
      <c r="I32" s="23">
        <f ca="1" t="shared" si="2"/>
        <v>51508.5</v>
      </c>
      <c r="J32" s="23">
        <f ca="1" t="shared" si="3"/>
        <v>20603.4</v>
      </c>
      <c r="K32" s="23">
        <f ca="1" t="shared" si="4"/>
        <v>10301.7</v>
      </c>
      <c r="L32" s="23">
        <v>2500</v>
      </c>
      <c r="M32" s="23">
        <v>3000</v>
      </c>
      <c r="N32" s="23">
        <v>1500</v>
      </c>
      <c r="O32" s="23">
        <f ca="1" t="shared" si="5"/>
        <v>6181.02</v>
      </c>
      <c r="P32" s="23">
        <f ca="1" t="shared" si="6"/>
        <v>6181.02</v>
      </c>
      <c r="Q32" s="24">
        <v>200</v>
      </c>
      <c r="R32" s="25"/>
      <c r="S32" s="23">
        <f ca="1" t="shared" si="7"/>
        <v>89413.6</v>
      </c>
      <c r="T32" s="23">
        <f ca="1" t="shared" si="8"/>
        <v>6381.02</v>
      </c>
      <c r="U32" s="26">
        <f ca="1" t="shared" si="9"/>
        <v>83032.58</v>
      </c>
    </row>
    <row r="33" spans="1:21">
      <c r="A33" s="19">
        <v>184</v>
      </c>
      <c r="B33" s="20" t="s">
        <v>76</v>
      </c>
      <c r="C33" s="20" t="s">
        <v>23</v>
      </c>
      <c r="D33" s="20" t="s">
        <v>66</v>
      </c>
      <c r="E33" s="21">
        <v>45177</v>
      </c>
      <c r="G33" s="22">
        <f ca="1" t="shared" si="0"/>
        <v>881322</v>
      </c>
      <c r="H33" s="23">
        <f ca="1" t="shared" si="1"/>
        <v>73443.5</v>
      </c>
      <c r="I33" s="23">
        <f ca="1" t="shared" si="2"/>
        <v>36721.75</v>
      </c>
      <c r="J33" s="23">
        <f ca="1" t="shared" si="3"/>
        <v>14688.7</v>
      </c>
      <c r="K33" s="23">
        <f ca="1" t="shared" si="4"/>
        <v>7344.35</v>
      </c>
      <c r="L33" s="23">
        <v>2500</v>
      </c>
      <c r="M33" s="23">
        <v>3000</v>
      </c>
      <c r="N33" s="23">
        <v>1500</v>
      </c>
      <c r="O33" s="23">
        <f ca="1" t="shared" si="5"/>
        <v>4406.61</v>
      </c>
      <c r="P33" s="23">
        <f ca="1" t="shared" si="6"/>
        <v>4406.61</v>
      </c>
      <c r="Q33" s="24">
        <v>200</v>
      </c>
      <c r="R33" s="25"/>
      <c r="S33" s="23">
        <f ca="1" t="shared" si="7"/>
        <v>65754.8</v>
      </c>
      <c r="T33" s="23">
        <f ca="1" t="shared" si="8"/>
        <v>4606.61</v>
      </c>
      <c r="U33" s="26">
        <f ca="1" t="shared" si="9"/>
        <v>61148.19</v>
      </c>
    </row>
    <row r="34" spans="1:21">
      <c r="A34" s="19">
        <v>113</v>
      </c>
      <c r="B34" s="20" t="s">
        <v>77</v>
      </c>
      <c r="C34" s="20" t="s">
        <v>35</v>
      </c>
      <c r="D34" s="20" t="s">
        <v>36</v>
      </c>
      <c r="E34" s="21">
        <v>43935</v>
      </c>
      <c r="G34" s="22">
        <f ca="1" t="shared" si="0"/>
        <v>1867656</v>
      </c>
      <c r="H34" s="23">
        <f ca="1" t="shared" si="1"/>
        <v>155638</v>
      </c>
      <c r="I34" s="23">
        <f ca="1" t="shared" si="2"/>
        <v>77819</v>
      </c>
      <c r="J34" s="23">
        <f ca="1" t="shared" si="3"/>
        <v>31127.6</v>
      </c>
      <c r="K34" s="23">
        <f ca="1" t="shared" si="4"/>
        <v>15563.8</v>
      </c>
      <c r="L34" s="23">
        <v>2500</v>
      </c>
      <c r="M34" s="23">
        <v>3000</v>
      </c>
      <c r="N34" s="23">
        <v>1500</v>
      </c>
      <c r="O34" s="23">
        <f ca="1" t="shared" si="5"/>
        <v>9338.28</v>
      </c>
      <c r="P34" s="23">
        <f ca="1" t="shared" si="6"/>
        <v>9338.28</v>
      </c>
      <c r="Q34" s="24">
        <v>200</v>
      </c>
      <c r="R34" s="25"/>
      <c r="S34" s="23">
        <f ca="1" t="shared" si="7"/>
        <v>131510.4</v>
      </c>
      <c r="T34" s="23">
        <f ca="1" t="shared" si="8"/>
        <v>9538.28</v>
      </c>
      <c r="U34" s="26">
        <f ca="1" t="shared" si="9"/>
        <v>121972.12</v>
      </c>
    </row>
    <row r="35" spans="1:21">
      <c r="A35" s="19">
        <v>154</v>
      </c>
      <c r="B35" s="20" t="s">
        <v>78</v>
      </c>
      <c r="C35" s="20" t="s">
        <v>23</v>
      </c>
      <c r="D35" s="20" t="s">
        <v>64</v>
      </c>
      <c r="E35" s="21">
        <v>45219</v>
      </c>
      <c r="G35" s="22">
        <f ca="1" t="shared" si="0"/>
        <v>854224</v>
      </c>
      <c r="H35" s="23">
        <f ca="1" t="shared" si="1"/>
        <v>71185.3333333333</v>
      </c>
      <c r="I35" s="23">
        <f ca="1" t="shared" si="2"/>
        <v>35592.6666666667</v>
      </c>
      <c r="J35" s="23">
        <f ca="1" t="shared" si="3"/>
        <v>14237.0666666667</v>
      </c>
      <c r="K35" s="23">
        <f ca="1" t="shared" si="4"/>
        <v>7118.53333333333</v>
      </c>
      <c r="L35" s="23">
        <v>2500</v>
      </c>
      <c r="M35" s="23">
        <v>3000</v>
      </c>
      <c r="N35" s="23">
        <v>1500</v>
      </c>
      <c r="O35" s="23">
        <f ca="1" t="shared" si="5"/>
        <v>4271.12</v>
      </c>
      <c r="P35" s="23">
        <f ca="1" t="shared" si="6"/>
        <v>4271.12</v>
      </c>
      <c r="Q35" s="24">
        <v>200</v>
      </c>
      <c r="R35" s="25"/>
      <c r="S35" s="23">
        <f ca="1" t="shared" si="7"/>
        <v>63948.2666666667</v>
      </c>
      <c r="T35" s="23">
        <f ca="1" t="shared" si="8"/>
        <v>4471.12</v>
      </c>
      <c r="U35" s="26">
        <f ca="1" t="shared" si="9"/>
        <v>59477.1466666667</v>
      </c>
    </row>
    <row r="36" spans="1:21">
      <c r="A36" s="19">
        <v>159</v>
      </c>
      <c r="B36" s="20" t="s">
        <v>79</v>
      </c>
      <c r="C36" s="20" t="s">
        <v>35</v>
      </c>
      <c r="D36" s="20" t="s">
        <v>36</v>
      </c>
      <c r="E36" s="21">
        <v>45363</v>
      </c>
      <c r="G36" s="22">
        <f ca="1" t="shared" si="0"/>
        <v>933259</v>
      </c>
      <c r="H36" s="23">
        <f ca="1" t="shared" si="1"/>
        <v>77771.5833333333</v>
      </c>
      <c r="I36" s="23">
        <f ca="1" t="shared" si="2"/>
        <v>38885.7916666667</v>
      </c>
      <c r="J36" s="23">
        <f ca="1" t="shared" si="3"/>
        <v>15554.3166666667</v>
      </c>
      <c r="K36" s="23">
        <f ca="1" t="shared" si="4"/>
        <v>7777.15833333333</v>
      </c>
      <c r="L36" s="23">
        <v>2500</v>
      </c>
      <c r="M36" s="23">
        <v>3000</v>
      </c>
      <c r="N36" s="23">
        <v>1500</v>
      </c>
      <c r="O36" s="23">
        <f ca="1" t="shared" si="5"/>
        <v>4666.295</v>
      </c>
      <c r="P36" s="23">
        <f ca="1" t="shared" si="6"/>
        <v>4666.295</v>
      </c>
      <c r="Q36" s="24">
        <v>200</v>
      </c>
      <c r="R36" s="25"/>
      <c r="S36" s="23">
        <f ca="1" t="shared" si="7"/>
        <v>69217.2666666667</v>
      </c>
      <c r="T36" s="23">
        <f ca="1" t="shared" si="8"/>
        <v>4866.295</v>
      </c>
      <c r="U36" s="26">
        <f ca="1" t="shared" si="9"/>
        <v>64350.9716666667</v>
      </c>
    </row>
    <row r="37" spans="1:21">
      <c r="A37" s="19">
        <v>165</v>
      </c>
      <c r="B37" s="20" t="s">
        <v>80</v>
      </c>
      <c r="C37" s="20" t="s">
        <v>39</v>
      </c>
      <c r="D37" s="20" t="s">
        <v>81</v>
      </c>
      <c r="E37" s="21">
        <v>45547</v>
      </c>
      <c r="G37" s="22">
        <f ca="1" t="shared" si="0"/>
        <v>1829716</v>
      </c>
      <c r="H37" s="23">
        <f ca="1" t="shared" si="1"/>
        <v>152476.333333333</v>
      </c>
      <c r="I37" s="23">
        <f ca="1" t="shared" si="2"/>
        <v>76238.1666666667</v>
      </c>
      <c r="J37" s="23">
        <f ca="1" t="shared" si="3"/>
        <v>30495.2666666667</v>
      </c>
      <c r="K37" s="23">
        <f ca="1" t="shared" si="4"/>
        <v>15247.6333333333</v>
      </c>
      <c r="L37" s="23">
        <v>2500</v>
      </c>
      <c r="M37" s="23">
        <v>3000</v>
      </c>
      <c r="N37" s="23">
        <v>1500</v>
      </c>
      <c r="O37" s="23">
        <f ca="1" t="shared" si="5"/>
        <v>9148.58</v>
      </c>
      <c r="P37" s="23">
        <f ca="1" t="shared" si="6"/>
        <v>9148.58</v>
      </c>
      <c r="Q37" s="24">
        <v>200</v>
      </c>
      <c r="R37" s="25"/>
      <c r="S37" s="23">
        <f ca="1" t="shared" si="7"/>
        <v>128981.066666667</v>
      </c>
      <c r="T37" s="23">
        <f ca="1" t="shared" si="8"/>
        <v>9348.58</v>
      </c>
      <c r="U37" s="26">
        <f ca="1" t="shared" si="9"/>
        <v>119632.486666667</v>
      </c>
    </row>
    <row r="38" spans="1:21">
      <c r="A38" s="19">
        <v>174</v>
      </c>
      <c r="B38" s="20" t="s">
        <v>82</v>
      </c>
      <c r="C38" s="20" t="s">
        <v>23</v>
      </c>
      <c r="D38" s="20" t="s">
        <v>24</v>
      </c>
      <c r="E38" s="21">
        <v>44260</v>
      </c>
      <c r="G38" s="22">
        <f ca="1" t="shared" si="0"/>
        <v>1873651</v>
      </c>
      <c r="H38" s="23">
        <f ca="1" t="shared" si="1"/>
        <v>156137.583333333</v>
      </c>
      <c r="I38" s="23">
        <f ca="1" t="shared" si="2"/>
        <v>78068.7916666667</v>
      </c>
      <c r="J38" s="23">
        <f ca="1" t="shared" si="3"/>
        <v>31227.5166666667</v>
      </c>
      <c r="K38" s="23">
        <f ca="1" t="shared" si="4"/>
        <v>15613.7583333333</v>
      </c>
      <c r="L38" s="23">
        <v>2500</v>
      </c>
      <c r="M38" s="23">
        <v>3000</v>
      </c>
      <c r="N38" s="23">
        <v>1500</v>
      </c>
      <c r="O38" s="23">
        <f ca="1" t="shared" si="5"/>
        <v>9368.255</v>
      </c>
      <c r="P38" s="23">
        <f ca="1" t="shared" si="6"/>
        <v>9368.255</v>
      </c>
      <c r="Q38" s="24">
        <v>200</v>
      </c>
      <c r="R38" s="25"/>
      <c r="S38" s="23">
        <f ca="1" t="shared" si="7"/>
        <v>131910.066666667</v>
      </c>
      <c r="T38" s="23">
        <f ca="1" t="shared" si="8"/>
        <v>9568.255</v>
      </c>
      <c r="U38" s="26">
        <f ca="1" t="shared" si="9"/>
        <v>122341.811666667</v>
      </c>
    </row>
    <row r="39" spans="1:21">
      <c r="A39" s="19">
        <v>162</v>
      </c>
      <c r="B39" s="20" t="s">
        <v>83</v>
      </c>
      <c r="C39" s="20" t="s">
        <v>26</v>
      </c>
      <c r="D39" s="20" t="s">
        <v>60</v>
      </c>
      <c r="E39" s="21">
        <v>45457</v>
      </c>
      <c r="G39" s="22">
        <f ca="1" t="shared" si="0"/>
        <v>1264972</v>
      </c>
      <c r="H39" s="23">
        <f ca="1" t="shared" si="1"/>
        <v>105414.333333333</v>
      </c>
      <c r="I39" s="23">
        <f ca="1" t="shared" si="2"/>
        <v>52707.1666666667</v>
      </c>
      <c r="J39" s="23">
        <f ca="1" t="shared" si="3"/>
        <v>21082.8666666667</v>
      </c>
      <c r="K39" s="23">
        <f ca="1" t="shared" si="4"/>
        <v>10541.4333333333</v>
      </c>
      <c r="L39" s="23">
        <v>2500</v>
      </c>
      <c r="M39" s="23">
        <v>3000</v>
      </c>
      <c r="N39" s="23">
        <v>1500</v>
      </c>
      <c r="O39" s="23">
        <f ca="1" t="shared" si="5"/>
        <v>6324.86</v>
      </c>
      <c r="P39" s="23">
        <f ca="1" t="shared" si="6"/>
        <v>6324.86</v>
      </c>
      <c r="Q39" s="24">
        <v>200</v>
      </c>
      <c r="R39" s="25"/>
      <c r="S39" s="23">
        <f ca="1" t="shared" si="7"/>
        <v>91331.4666666667</v>
      </c>
      <c r="T39" s="23">
        <f ca="1" t="shared" si="8"/>
        <v>6524.86</v>
      </c>
      <c r="U39" s="26">
        <f ca="1" t="shared" si="9"/>
        <v>84806.6066666667</v>
      </c>
    </row>
    <row r="40" spans="1:21">
      <c r="A40" s="19">
        <v>124</v>
      </c>
      <c r="B40" s="20" t="s">
        <v>84</v>
      </c>
      <c r="C40" s="20" t="s">
        <v>32</v>
      </c>
      <c r="D40" s="20" t="s">
        <v>33</v>
      </c>
      <c r="E40" s="21">
        <v>44298</v>
      </c>
      <c r="G40" s="22">
        <f ca="1" t="shared" si="0"/>
        <v>1617810</v>
      </c>
      <c r="H40" s="23">
        <f ca="1" t="shared" si="1"/>
        <v>134817.5</v>
      </c>
      <c r="I40" s="23">
        <f ca="1" t="shared" si="2"/>
        <v>67408.75</v>
      </c>
      <c r="J40" s="23">
        <f ca="1" t="shared" si="3"/>
        <v>26963.5</v>
      </c>
      <c r="K40" s="23">
        <f ca="1" t="shared" si="4"/>
        <v>13481.75</v>
      </c>
      <c r="L40" s="23">
        <v>2500</v>
      </c>
      <c r="M40" s="23">
        <v>3000</v>
      </c>
      <c r="N40" s="23">
        <v>1500</v>
      </c>
      <c r="O40" s="23">
        <f ca="1" t="shared" si="5"/>
        <v>8089.05</v>
      </c>
      <c r="P40" s="23">
        <f ca="1" t="shared" si="6"/>
        <v>8089.05</v>
      </c>
      <c r="Q40" s="24">
        <v>200</v>
      </c>
      <c r="R40" s="25"/>
      <c r="S40" s="23">
        <f ca="1" t="shared" si="7"/>
        <v>114854</v>
      </c>
      <c r="T40" s="23">
        <f ca="1" t="shared" si="8"/>
        <v>8289.05</v>
      </c>
      <c r="U40" s="26">
        <f ca="1" t="shared" si="9"/>
        <v>106564.95</v>
      </c>
    </row>
    <row r="41" spans="1:21">
      <c r="A41" s="19">
        <v>198</v>
      </c>
      <c r="B41" s="20" t="s">
        <v>85</v>
      </c>
      <c r="C41" s="20" t="s">
        <v>32</v>
      </c>
      <c r="D41" s="20" t="s">
        <v>33</v>
      </c>
      <c r="E41" s="21">
        <v>44601</v>
      </c>
      <c r="G41" s="22">
        <f ca="1" t="shared" si="0"/>
        <v>1153661</v>
      </c>
      <c r="H41" s="23">
        <f ca="1" t="shared" si="1"/>
        <v>96138.4166666667</v>
      </c>
      <c r="I41" s="23">
        <f ca="1" t="shared" si="2"/>
        <v>48069.2083333333</v>
      </c>
      <c r="J41" s="23">
        <f ca="1" t="shared" si="3"/>
        <v>19227.6833333333</v>
      </c>
      <c r="K41" s="23">
        <f ca="1" t="shared" si="4"/>
        <v>9613.84166666667</v>
      </c>
      <c r="L41" s="23">
        <v>2500</v>
      </c>
      <c r="M41" s="23">
        <v>3000</v>
      </c>
      <c r="N41" s="23">
        <v>1500</v>
      </c>
      <c r="O41" s="23">
        <f ca="1" t="shared" si="5"/>
        <v>5768.305</v>
      </c>
      <c r="P41" s="23">
        <f ca="1" t="shared" si="6"/>
        <v>5768.305</v>
      </c>
      <c r="Q41" s="24">
        <v>200</v>
      </c>
      <c r="R41" s="25"/>
      <c r="S41" s="23">
        <f ca="1" t="shared" si="7"/>
        <v>83910.7333333333</v>
      </c>
      <c r="T41" s="23">
        <f ca="1" t="shared" si="8"/>
        <v>5968.305</v>
      </c>
      <c r="U41" s="26">
        <f ca="1" t="shared" si="9"/>
        <v>77942.4283333333</v>
      </c>
    </row>
    <row r="42" spans="1:21">
      <c r="A42" s="19">
        <v>105</v>
      </c>
      <c r="B42" s="20" t="s">
        <v>86</v>
      </c>
      <c r="C42" s="20" t="s">
        <v>35</v>
      </c>
      <c r="D42" s="20" t="s">
        <v>43</v>
      </c>
      <c r="E42" s="21">
        <v>43691</v>
      </c>
      <c r="G42" s="22">
        <f ca="1" t="shared" si="0"/>
        <v>1900160</v>
      </c>
      <c r="H42" s="23">
        <f ca="1" t="shared" si="1"/>
        <v>158346.666666667</v>
      </c>
      <c r="I42" s="23">
        <f ca="1" t="shared" si="2"/>
        <v>79173.3333333333</v>
      </c>
      <c r="J42" s="23">
        <f ca="1" t="shared" si="3"/>
        <v>31669.3333333333</v>
      </c>
      <c r="K42" s="23">
        <f ca="1" t="shared" si="4"/>
        <v>15834.6666666667</v>
      </c>
      <c r="L42" s="23">
        <v>2500</v>
      </c>
      <c r="M42" s="23">
        <v>3000</v>
      </c>
      <c r="N42" s="23">
        <v>1500</v>
      </c>
      <c r="O42" s="23">
        <f ca="1" t="shared" si="5"/>
        <v>9500.8</v>
      </c>
      <c r="P42" s="23">
        <f ca="1" t="shared" si="6"/>
        <v>9500.8</v>
      </c>
      <c r="Q42" s="24">
        <v>200</v>
      </c>
      <c r="R42" s="25"/>
      <c r="S42" s="23">
        <f ca="1" t="shared" si="7"/>
        <v>133677.333333333</v>
      </c>
      <c r="T42" s="23">
        <f ca="1" t="shared" si="8"/>
        <v>9700.8</v>
      </c>
      <c r="U42" s="26">
        <f ca="1" t="shared" si="9"/>
        <v>123976.533333333</v>
      </c>
    </row>
    <row r="43" spans="1:21">
      <c r="A43" s="19">
        <v>148</v>
      </c>
      <c r="B43" s="20" t="s">
        <v>87</v>
      </c>
      <c r="C43" s="20" t="s">
        <v>32</v>
      </c>
      <c r="D43" s="20" t="s">
        <v>33</v>
      </c>
      <c r="E43" s="21">
        <v>45033</v>
      </c>
      <c r="G43" s="22">
        <f ca="1" t="shared" si="0"/>
        <v>1687560</v>
      </c>
      <c r="H43" s="23">
        <f ca="1" t="shared" si="1"/>
        <v>140630</v>
      </c>
      <c r="I43" s="23">
        <f ca="1" t="shared" si="2"/>
        <v>70315</v>
      </c>
      <c r="J43" s="23">
        <f ca="1" t="shared" si="3"/>
        <v>28126</v>
      </c>
      <c r="K43" s="23">
        <f ca="1" t="shared" si="4"/>
        <v>14063</v>
      </c>
      <c r="L43" s="23">
        <v>2500</v>
      </c>
      <c r="M43" s="23">
        <v>3000</v>
      </c>
      <c r="N43" s="23">
        <v>1500</v>
      </c>
      <c r="O43" s="23">
        <f ca="1" t="shared" si="5"/>
        <v>8437.8</v>
      </c>
      <c r="P43" s="23">
        <f ca="1" t="shared" si="6"/>
        <v>8437.8</v>
      </c>
      <c r="Q43" s="24">
        <v>200</v>
      </c>
      <c r="R43" s="25"/>
      <c r="S43" s="23">
        <f ca="1" t="shared" si="7"/>
        <v>119504</v>
      </c>
      <c r="T43" s="23">
        <f ca="1" t="shared" si="8"/>
        <v>8637.8</v>
      </c>
      <c r="U43" s="26">
        <f ca="1" t="shared" si="9"/>
        <v>110866.2</v>
      </c>
    </row>
    <row r="44" spans="1:21">
      <c r="A44" s="19">
        <v>135</v>
      </c>
      <c r="B44" s="20" t="s">
        <v>88</v>
      </c>
      <c r="C44" s="20" t="s">
        <v>39</v>
      </c>
      <c r="D44" s="20" t="s">
        <v>40</v>
      </c>
      <c r="E44" s="21">
        <v>44642</v>
      </c>
      <c r="G44" s="22">
        <f ca="1" t="shared" si="0"/>
        <v>1772938</v>
      </c>
      <c r="H44" s="23">
        <f ca="1" t="shared" si="1"/>
        <v>147744.833333333</v>
      </c>
      <c r="I44" s="23">
        <f ca="1" t="shared" si="2"/>
        <v>73872.4166666667</v>
      </c>
      <c r="J44" s="23">
        <f ca="1" t="shared" si="3"/>
        <v>29548.9666666667</v>
      </c>
      <c r="K44" s="23">
        <f ca="1" t="shared" si="4"/>
        <v>14774.4833333333</v>
      </c>
      <c r="L44" s="23">
        <v>2500</v>
      </c>
      <c r="M44" s="23">
        <v>3000</v>
      </c>
      <c r="N44" s="23">
        <v>1500</v>
      </c>
      <c r="O44" s="23">
        <f ca="1" t="shared" si="5"/>
        <v>8864.69</v>
      </c>
      <c r="P44" s="23">
        <f ca="1" t="shared" si="6"/>
        <v>8864.69</v>
      </c>
      <c r="Q44" s="24">
        <v>200</v>
      </c>
      <c r="R44" s="25"/>
      <c r="S44" s="23">
        <f ca="1" t="shared" si="7"/>
        <v>125195.866666667</v>
      </c>
      <c r="T44" s="23">
        <f ca="1" t="shared" si="8"/>
        <v>9064.69</v>
      </c>
      <c r="U44" s="26">
        <f ca="1" t="shared" si="9"/>
        <v>116131.176666667</v>
      </c>
    </row>
    <row r="45" spans="1:21">
      <c r="A45" s="19">
        <v>136</v>
      </c>
      <c r="B45" s="20" t="s">
        <v>89</v>
      </c>
      <c r="C45" s="20" t="s">
        <v>26</v>
      </c>
      <c r="D45" s="20" t="s">
        <v>90</v>
      </c>
      <c r="E45" s="21">
        <v>44669</v>
      </c>
      <c r="G45" s="22">
        <f ca="1" t="shared" si="0"/>
        <v>1152727</v>
      </c>
      <c r="H45" s="23">
        <f ca="1" t="shared" si="1"/>
        <v>96060.5833333333</v>
      </c>
      <c r="I45" s="23">
        <f ca="1" t="shared" si="2"/>
        <v>48030.2916666667</v>
      </c>
      <c r="J45" s="23">
        <f ca="1" t="shared" si="3"/>
        <v>19212.1166666667</v>
      </c>
      <c r="K45" s="23">
        <f ca="1" t="shared" si="4"/>
        <v>9606.05833333333</v>
      </c>
      <c r="L45" s="23">
        <v>2500</v>
      </c>
      <c r="M45" s="23">
        <v>3000</v>
      </c>
      <c r="N45" s="23">
        <v>1500</v>
      </c>
      <c r="O45" s="23">
        <f ca="1" t="shared" si="5"/>
        <v>5763.635</v>
      </c>
      <c r="P45" s="23">
        <f ca="1" t="shared" si="6"/>
        <v>5763.635</v>
      </c>
      <c r="Q45" s="24">
        <v>200</v>
      </c>
      <c r="R45" s="25"/>
      <c r="S45" s="23">
        <f ca="1" t="shared" si="7"/>
        <v>83848.4666666667</v>
      </c>
      <c r="T45" s="23">
        <f ca="1" t="shared" si="8"/>
        <v>5963.635</v>
      </c>
      <c r="U45" s="26">
        <f ca="1" t="shared" si="9"/>
        <v>77884.8316666667</v>
      </c>
    </row>
    <row r="46" spans="1:21">
      <c r="A46" s="19">
        <v>121</v>
      </c>
      <c r="B46" s="20" t="s">
        <v>91</v>
      </c>
      <c r="C46" s="20" t="s">
        <v>39</v>
      </c>
      <c r="D46" s="20" t="s">
        <v>81</v>
      </c>
      <c r="E46" s="21">
        <v>44207</v>
      </c>
      <c r="G46" s="22">
        <f ca="1" t="shared" si="0"/>
        <v>1901476</v>
      </c>
      <c r="H46" s="23">
        <f ca="1" t="shared" si="1"/>
        <v>158456.333333333</v>
      </c>
      <c r="I46" s="23">
        <f ca="1" t="shared" si="2"/>
        <v>79228.1666666667</v>
      </c>
      <c r="J46" s="23">
        <f ca="1" t="shared" si="3"/>
        <v>31691.2666666667</v>
      </c>
      <c r="K46" s="23">
        <f ca="1" t="shared" si="4"/>
        <v>15845.6333333333</v>
      </c>
      <c r="L46" s="23">
        <v>2500</v>
      </c>
      <c r="M46" s="23">
        <v>3000</v>
      </c>
      <c r="N46" s="23">
        <v>1500</v>
      </c>
      <c r="O46" s="23">
        <f ca="1" t="shared" si="5"/>
        <v>9507.38</v>
      </c>
      <c r="P46" s="23">
        <f ca="1" t="shared" si="6"/>
        <v>9507.38</v>
      </c>
      <c r="Q46" s="24">
        <v>200</v>
      </c>
      <c r="R46" s="25"/>
      <c r="S46" s="23">
        <f ca="1" t="shared" si="7"/>
        <v>133765.066666667</v>
      </c>
      <c r="T46" s="23">
        <f ca="1" t="shared" si="8"/>
        <v>9707.38</v>
      </c>
      <c r="U46" s="26">
        <f ca="1" t="shared" si="9"/>
        <v>124057.686666667</v>
      </c>
    </row>
    <row r="47" spans="1:21">
      <c r="A47" s="19">
        <v>119</v>
      </c>
      <c r="B47" s="20" t="s">
        <v>92</v>
      </c>
      <c r="C47" s="20" t="s">
        <v>23</v>
      </c>
      <c r="D47" s="20" t="s">
        <v>93</v>
      </c>
      <c r="E47" s="21">
        <v>44133</v>
      </c>
      <c r="G47" s="22">
        <f ca="1" t="shared" si="0"/>
        <v>1023953</v>
      </c>
      <c r="H47" s="23">
        <f ca="1" t="shared" si="1"/>
        <v>85329.4166666667</v>
      </c>
      <c r="I47" s="23">
        <f ca="1" t="shared" si="2"/>
        <v>42664.7083333333</v>
      </c>
      <c r="J47" s="23">
        <f ca="1" t="shared" si="3"/>
        <v>17065.8833333333</v>
      </c>
      <c r="K47" s="23">
        <f ca="1" t="shared" si="4"/>
        <v>8532.94166666667</v>
      </c>
      <c r="L47" s="23">
        <v>2500</v>
      </c>
      <c r="M47" s="23">
        <v>3000</v>
      </c>
      <c r="N47" s="23">
        <v>1500</v>
      </c>
      <c r="O47" s="23">
        <f ca="1" t="shared" si="5"/>
        <v>5119.765</v>
      </c>
      <c r="P47" s="23">
        <f ca="1" t="shared" si="6"/>
        <v>5119.765</v>
      </c>
      <c r="Q47" s="24">
        <v>200</v>
      </c>
      <c r="R47" s="25"/>
      <c r="S47" s="23">
        <f ca="1" t="shared" si="7"/>
        <v>75263.5333333333</v>
      </c>
      <c r="T47" s="23">
        <f ca="1" t="shared" si="8"/>
        <v>5319.765</v>
      </c>
      <c r="U47" s="26">
        <f ca="1" t="shared" si="9"/>
        <v>69943.7683333333</v>
      </c>
    </row>
    <row r="48" spans="1:21">
      <c r="A48" s="19">
        <v>132</v>
      </c>
      <c r="B48" s="20" t="s">
        <v>94</v>
      </c>
      <c r="C48" s="20" t="s">
        <v>26</v>
      </c>
      <c r="D48" s="20" t="s">
        <v>27</v>
      </c>
      <c r="E48" s="21">
        <v>44544</v>
      </c>
      <c r="G48" s="22">
        <f ca="1" t="shared" si="0"/>
        <v>1584865</v>
      </c>
      <c r="H48" s="23">
        <f ca="1" t="shared" si="1"/>
        <v>132072.083333333</v>
      </c>
      <c r="I48" s="23">
        <f ca="1" t="shared" si="2"/>
        <v>66036.0416666667</v>
      </c>
      <c r="J48" s="23">
        <f ca="1" t="shared" si="3"/>
        <v>26414.4166666667</v>
      </c>
      <c r="K48" s="23">
        <f ca="1" t="shared" si="4"/>
        <v>13207.2083333333</v>
      </c>
      <c r="L48" s="23">
        <v>2500</v>
      </c>
      <c r="M48" s="23">
        <v>3000</v>
      </c>
      <c r="N48" s="23">
        <v>1500</v>
      </c>
      <c r="O48" s="23">
        <f ca="1" t="shared" si="5"/>
        <v>7924.325</v>
      </c>
      <c r="P48" s="23">
        <f ca="1" t="shared" si="6"/>
        <v>7924.325</v>
      </c>
      <c r="Q48" s="24">
        <v>200</v>
      </c>
      <c r="R48" s="25"/>
      <c r="S48" s="23">
        <f ca="1" t="shared" si="7"/>
        <v>112657.666666667</v>
      </c>
      <c r="T48" s="23">
        <f ca="1" t="shared" si="8"/>
        <v>8124.325</v>
      </c>
      <c r="U48" s="26">
        <f ca="1" t="shared" si="9"/>
        <v>104533.341666667</v>
      </c>
    </row>
    <row r="49" spans="1:21">
      <c r="A49" s="19">
        <v>186</v>
      </c>
      <c r="B49" s="20" t="s">
        <v>95</v>
      </c>
      <c r="C49" s="20" t="s">
        <v>26</v>
      </c>
      <c r="D49" s="20" t="s">
        <v>90</v>
      </c>
      <c r="E49" s="21">
        <v>45372</v>
      </c>
      <c r="G49" s="22">
        <f ca="1" t="shared" si="0"/>
        <v>1172671</v>
      </c>
      <c r="H49" s="23">
        <f ca="1" t="shared" si="1"/>
        <v>97722.5833333333</v>
      </c>
      <c r="I49" s="23">
        <f ca="1" t="shared" si="2"/>
        <v>48861.2916666667</v>
      </c>
      <c r="J49" s="23">
        <f ca="1" t="shared" si="3"/>
        <v>19544.5166666667</v>
      </c>
      <c r="K49" s="23">
        <f ca="1" t="shared" si="4"/>
        <v>9772.25833333333</v>
      </c>
      <c r="L49" s="23">
        <v>2500</v>
      </c>
      <c r="M49" s="23">
        <v>3000</v>
      </c>
      <c r="N49" s="23">
        <v>1500</v>
      </c>
      <c r="O49" s="23">
        <f ca="1" t="shared" si="5"/>
        <v>5863.355</v>
      </c>
      <c r="P49" s="23">
        <f ca="1" t="shared" si="6"/>
        <v>5863.355</v>
      </c>
      <c r="Q49" s="24">
        <v>200</v>
      </c>
      <c r="R49" s="25"/>
      <c r="S49" s="23">
        <f ca="1" t="shared" si="7"/>
        <v>85178.0666666667</v>
      </c>
      <c r="T49" s="23">
        <f ca="1" t="shared" si="8"/>
        <v>6063.355</v>
      </c>
      <c r="U49" s="26">
        <f ca="1" t="shared" si="9"/>
        <v>79114.7116666667</v>
      </c>
    </row>
    <row r="50" spans="1:21">
      <c r="A50" s="19">
        <v>200</v>
      </c>
      <c r="B50" s="20" t="s">
        <v>96</v>
      </c>
      <c r="C50" s="20" t="s">
        <v>47</v>
      </c>
      <c r="D50" s="20" t="s">
        <v>97</v>
      </c>
      <c r="E50" s="21">
        <v>44873</v>
      </c>
      <c r="G50" s="22">
        <f ca="1" t="shared" si="0"/>
        <v>1565644</v>
      </c>
      <c r="H50" s="23">
        <f ca="1" t="shared" si="1"/>
        <v>130470.333333333</v>
      </c>
      <c r="I50" s="23">
        <f ca="1" t="shared" si="2"/>
        <v>65235.1666666667</v>
      </c>
      <c r="J50" s="23">
        <f ca="1" t="shared" si="3"/>
        <v>26094.0666666667</v>
      </c>
      <c r="K50" s="23">
        <f ca="1" t="shared" si="4"/>
        <v>13047.0333333333</v>
      </c>
      <c r="L50" s="23">
        <v>2500</v>
      </c>
      <c r="M50" s="23">
        <v>3000</v>
      </c>
      <c r="N50" s="23">
        <v>1500</v>
      </c>
      <c r="O50" s="23">
        <f ca="1" t="shared" si="5"/>
        <v>7828.22</v>
      </c>
      <c r="P50" s="23">
        <f ca="1" t="shared" si="6"/>
        <v>7828.22</v>
      </c>
      <c r="Q50" s="24">
        <v>200</v>
      </c>
      <c r="R50" s="25"/>
      <c r="S50" s="23">
        <f ca="1" t="shared" si="7"/>
        <v>111376.266666667</v>
      </c>
      <c r="T50" s="23">
        <f ca="1" t="shared" si="8"/>
        <v>8028.22</v>
      </c>
      <c r="U50" s="26">
        <f ca="1" t="shared" si="9"/>
        <v>103348.046666667</v>
      </c>
    </row>
    <row r="51" spans="1:21">
      <c r="A51" s="19">
        <v>131</v>
      </c>
      <c r="B51" s="20" t="s">
        <v>98</v>
      </c>
      <c r="C51" s="20" t="s">
        <v>35</v>
      </c>
      <c r="D51" s="20" t="s">
        <v>71</v>
      </c>
      <c r="E51" s="21">
        <v>44515</v>
      </c>
      <c r="G51" s="22">
        <f ca="1" t="shared" si="0"/>
        <v>1322540</v>
      </c>
      <c r="H51" s="23">
        <f ca="1" t="shared" si="1"/>
        <v>110211.666666667</v>
      </c>
      <c r="I51" s="23">
        <f ca="1" t="shared" si="2"/>
        <v>55105.8333333333</v>
      </c>
      <c r="J51" s="23">
        <f ca="1" t="shared" si="3"/>
        <v>22042.3333333333</v>
      </c>
      <c r="K51" s="23">
        <f ca="1" t="shared" si="4"/>
        <v>11021.1666666667</v>
      </c>
      <c r="L51" s="23">
        <v>2500</v>
      </c>
      <c r="M51" s="23">
        <v>3000</v>
      </c>
      <c r="N51" s="23">
        <v>1500</v>
      </c>
      <c r="O51" s="23">
        <f ca="1" t="shared" si="5"/>
        <v>6612.7</v>
      </c>
      <c r="P51" s="23">
        <f ca="1" t="shared" si="6"/>
        <v>6612.7</v>
      </c>
      <c r="Q51" s="24">
        <v>200</v>
      </c>
      <c r="R51" s="25"/>
      <c r="S51" s="23">
        <f ca="1" t="shared" si="7"/>
        <v>95169.3333333333</v>
      </c>
      <c r="T51" s="23">
        <f ca="1" t="shared" si="8"/>
        <v>6812.7</v>
      </c>
      <c r="U51" s="26">
        <f ca="1" t="shared" si="9"/>
        <v>88356.6333333333</v>
      </c>
    </row>
    <row r="52" spans="1:21">
      <c r="A52" s="19">
        <v>195</v>
      </c>
      <c r="B52" s="20" t="s">
        <v>99</v>
      </c>
      <c r="C52" s="20" t="s">
        <v>39</v>
      </c>
      <c r="D52" s="20" t="s">
        <v>81</v>
      </c>
      <c r="E52" s="21">
        <v>44201</v>
      </c>
      <c r="G52" s="22">
        <f ca="1" t="shared" si="0"/>
        <v>1916598</v>
      </c>
      <c r="H52" s="23">
        <f ca="1" t="shared" si="1"/>
        <v>159716.5</v>
      </c>
      <c r="I52" s="23">
        <f ca="1" t="shared" si="2"/>
        <v>79858.25</v>
      </c>
      <c r="J52" s="23">
        <f ca="1" t="shared" si="3"/>
        <v>31943.3</v>
      </c>
      <c r="K52" s="23">
        <f ca="1" t="shared" si="4"/>
        <v>15971.65</v>
      </c>
      <c r="L52" s="23">
        <v>2500</v>
      </c>
      <c r="M52" s="23">
        <v>3000</v>
      </c>
      <c r="N52" s="23">
        <v>1500</v>
      </c>
      <c r="O52" s="23">
        <f ca="1" t="shared" si="5"/>
        <v>9582.99</v>
      </c>
      <c r="P52" s="23">
        <f ca="1" t="shared" si="6"/>
        <v>9582.99</v>
      </c>
      <c r="Q52" s="24">
        <v>200</v>
      </c>
      <c r="R52" s="25"/>
      <c r="S52" s="23">
        <f ca="1" t="shared" si="7"/>
        <v>134773.2</v>
      </c>
      <c r="T52" s="23">
        <f ca="1" t="shared" si="8"/>
        <v>9782.99</v>
      </c>
      <c r="U52" s="26">
        <f ca="1" t="shared" si="9"/>
        <v>124990.21</v>
      </c>
    </row>
    <row r="53" spans="1:21">
      <c r="A53" s="19">
        <v>130</v>
      </c>
      <c r="B53" s="20" t="s">
        <v>100</v>
      </c>
      <c r="C53" s="20" t="s">
        <v>47</v>
      </c>
      <c r="D53" s="20" t="s">
        <v>97</v>
      </c>
      <c r="E53" s="21">
        <v>44491</v>
      </c>
      <c r="G53" s="22">
        <f ca="1" t="shared" si="0"/>
        <v>1796456</v>
      </c>
      <c r="H53" s="23">
        <f ca="1" t="shared" si="1"/>
        <v>149704.666666667</v>
      </c>
      <c r="I53" s="23">
        <f ca="1" t="shared" si="2"/>
        <v>74852.3333333333</v>
      </c>
      <c r="J53" s="23">
        <f ca="1" t="shared" si="3"/>
        <v>29940.9333333333</v>
      </c>
      <c r="K53" s="23">
        <f ca="1" t="shared" si="4"/>
        <v>14970.4666666667</v>
      </c>
      <c r="L53" s="23">
        <v>2500</v>
      </c>
      <c r="M53" s="23">
        <v>3000</v>
      </c>
      <c r="N53" s="23">
        <v>1500</v>
      </c>
      <c r="O53" s="23">
        <f ca="1" t="shared" si="5"/>
        <v>8982.28</v>
      </c>
      <c r="P53" s="23">
        <f ca="1" t="shared" si="6"/>
        <v>8982.28</v>
      </c>
      <c r="Q53" s="24">
        <v>200</v>
      </c>
      <c r="R53" s="25"/>
      <c r="S53" s="23">
        <f ca="1" t="shared" si="7"/>
        <v>126763.733333333</v>
      </c>
      <c r="T53" s="23">
        <f ca="1" t="shared" si="8"/>
        <v>9182.28</v>
      </c>
      <c r="U53" s="26">
        <f ca="1" t="shared" si="9"/>
        <v>117581.453333333</v>
      </c>
    </row>
    <row r="54" spans="1:21">
      <c r="A54" s="19">
        <v>129</v>
      </c>
      <c r="B54" s="20" t="s">
        <v>101</v>
      </c>
      <c r="C54" s="20" t="s">
        <v>39</v>
      </c>
      <c r="D54" s="20" t="s">
        <v>40</v>
      </c>
      <c r="E54" s="21">
        <v>44455</v>
      </c>
      <c r="G54" s="22">
        <f ca="1" t="shared" si="0"/>
        <v>1549484</v>
      </c>
      <c r="H54" s="23">
        <f ca="1" t="shared" si="1"/>
        <v>129123.666666667</v>
      </c>
      <c r="I54" s="23">
        <f ca="1" t="shared" si="2"/>
        <v>64561.8333333333</v>
      </c>
      <c r="J54" s="23">
        <f ca="1" t="shared" si="3"/>
        <v>25824.7333333333</v>
      </c>
      <c r="K54" s="23">
        <f ca="1" t="shared" si="4"/>
        <v>12912.3666666667</v>
      </c>
      <c r="L54" s="23">
        <v>2500</v>
      </c>
      <c r="M54" s="23">
        <v>3000</v>
      </c>
      <c r="N54" s="23">
        <v>1500</v>
      </c>
      <c r="O54" s="23">
        <f ca="1" t="shared" si="5"/>
        <v>7747.42</v>
      </c>
      <c r="P54" s="23">
        <f ca="1" t="shared" si="6"/>
        <v>7747.42</v>
      </c>
      <c r="Q54" s="24">
        <v>200</v>
      </c>
      <c r="R54" s="25"/>
      <c r="S54" s="23">
        <f ca="1" t="shared" si="7"/>
        <v>110298.933333333</v>
      </c>
      <c r="T54" s="23">
        <f ca="1" t="shared" si="8"/>
        <v>7947.42</v>
      </c>
      <c r="U54" s="26">
        <f ca="1" t="shared" si="9"/>
        <v>102351.513333333</v>
      </c>
    </row>
    <row r="55" spans="1:21">
      <c r="A55" s="19">
        <v>177</v>
      </c>
      <c r="B55" s="20" t="s">
        <v>102</v>
      </c>
      <c r="C55" s="20" t="s">
        <v>26</v>
      </c>
      <c r="D55" s="20" t="s">
        <v>51</v>
      </c>
      <c r="E55" s="21">
        <v>44550</v>
      </c>
      <c r="G55" s="22">
        <f ca="1" t="shared" si="0"/>
        <v>1872727</v>
      </c>
      <c r="H55" s="23">
        <f ca="1" t="shared" si="1"/>
        <v>156060.583333333</v>
      </c>
      <c r="I55" s="23">
        <f ca="1" t="shared" si="2"/>
        <v>78030.2916666667</v>
      </c>
      <c r="J55" s="23">
        <f ca="1" t="shared" si="3"/>
        <v>31212.1166666667</v>
      </c>
      <c r="K55" s="23">
        <f ca="1" t="shared" si="4"/>
        <v>15606.0583333333</v>
      </c>
      <c r="L55" s="23">
        <v>2500</v>
      </c>
      <c r="M55" s="23">
        <v>3000</v>
      </c>
      <c r="N55" s="23">
        <v>1500</v>
      </c>
      <c r="O55" s="23">
        <f ca="1" t="shared" si="5"/>
        <v>9363.635</v>
      </c>
      <c r="P55" s="23">
        <f ca="1" t="shared" si="6"/>
        <v>9363.635</v>
      </c>
      <c r="Q55" s="24">
        <v>200</v>
      </c>
      <c r="R55" s="25"/>
      <c r="S55" s="23">
        <f ca="1" t="shared" si="7"/>
        <v>131848.466666667</v>
      </c>
      <c r="T55" s="23">
        <f ca="1" t="shared" si="8"/>
        <v>9563.635</v>
      </c>
      <c r="U55" s="26">
        <f ca="1" t="shared" si="9"/>
        <v>122284.831666667</v>
      </c>
    </row>
    <row r="56" spans="1:21">
      <c r="A56" s="19">
        <v>140</v>
      </c>
      <c r="B56" s="20" t="s">
        <v>103</v>
      </c>
      <c r="C56" s="20" t="s">
        <v>47</v>
      </c>
      <c r="D56" s="20" t="s">
        <v>97</v>
      </c>
      <c r="E56" s="21">
        <v>44795</v>
      </c>
      <c r="G56" s="22">
        <f ca="1" t="shared" si="0"/>
        <v>1224989</v>
      </c>
      <c r="H56" s="23">
        <f ca="1" t="shared" si="1"/>
        <v>102082.416666667</v>
      </c>
      <c r="I56" s="23">
        <f ca="1" t="shared" si="2"/>
        <v>51041.2083333333</v>
      </c>
      <c r="J56" s="23">
        <f ca="1" t="shared" si="3"/>
        <v>20416.4833333333</v>
      </c>
      <c r="K56" s="23">
        <f ca="1" t="shared" si="4"/>
        <v>10208.2416666667</v>
      </c>
      <c r="L56" s="23">
        <v>2500</v>
      </c>
      <c r="M56" s="23">
        <v>3000</v>
      </c>
      <c r="N56" s="23">
        <v>1500</v>
      </c>
      <c r="O56" s="23">
        <f ca="1" t="shared" si="5"/>
        <v>6124.945</v>
      </c>
      <c r="P56" s="23">
        <f ca="1" t="shared" si="6"/>
        <v>6124.945</v>
      </c>
      <c r="Q56" s="24">
        <v>200</v>
      </c>
      <c r="R56" s="25"/>
      <c r="S56" s="23">
        <f ca="1" t="shared" si="7"/>
        <v>88665.9333333333</v>
      </c>
      <c r="T56" s="23">
        <f ca="1" t="shared" si="8"/>
        <v>6324.945</v>
      </c>
      <c r="U56" s="26">
        <f ca="1" t="shared" si="9"/>
        <v>82340.9883333333</v>
      </c>
    </row>
    <row r="57" spans="1:21">
      <c r="A57" s="19">
        <v>189</v>
      </c>
      <c r="B57" s="20" t="s">
        <v>104</v>
      </c>
      <c r="C57" s="20" t="s">
        <v>35</v>
      </c>
      <c r="D57" s="20" t="s">
        <v>36</v>
      </c>
      <c r="E57" s="21">
        <v>45618</v>
      </c>
      <c r="G57" s="22">
        <f ca="1" t="shared" si="0"/>
        <v>862031</v>
      </c>
      <c r="H57" s="23">
        <f ca="1" t="shared" si="1"/>
        <v>71835.9166666667</v>
      </c>
      <c r="I57" s="23">
        <f ca="1" t="shared" si="2"/>
        <v>35917.9583333333</v>
      </c>
      <c r="J57" s="23">
        <f ca="1" t="shared" si="3"/>
        <v>14367.1833333333</v>
      </c>
      <c r="K57" s="23">
        <f ca="1" t="shared" si="4"/>
        <v>7183.59166666667</v>
      </c>
      <c r="L57" s="23">
        <v>2500</v>
      </c>
      <c r="M57" s="23">
        <v>3000</v>
      </c>
      <c r="N57" s="23">
        <v>1500</v>
      </c>
      <c r="O57" s="23">
        <f ca="1" t="shared" si="5"/>
        <v>4310.155</v>
      </c>
      <c r="P57" s="23">
        <f ca="1" t="shared" si="6"/>
        <v>4310.155</v>
      </c>
      <c r="Q57" s="24">
        <v>200</v>
      </c>
      <c r="R57" s="25"/>
      <c r="S57" s="23">
        <f ca="1" t="shared" si="7"/>
        <v>64468.7333333333</v>
      </c>
      <c r="T57" s="23">
        <f ca="1" t="shared" si="8"/>
        <v>4510.155</v>
      </c>
      <c r="U57" s="26">
        <f ca="1" t="shared" si="9"/>
        <v>59958.5783333333</v>
      </c>
    </row>
    <row r="58" spans="1:21">
      <c r="A58" s="19">
        <v>166</v>
      </c>
      <c r="B58" s="20" t="s">
        <v>105</v>
      </c>
      <c r="C58" s="20" t="s">
        <v>26</v>
      </c>
      <c r="D58" s="20" t="s">
        <v>51</v>
      </c>
      <c r="E58" s="21">
        <v>45583</v>
      </c>
      <c r="G58" s="22">
        <f ca="1" t="shared" si="0"/>
        <v>1591784</v>
      </c>
      <c r="H58" s="23">
        <f ca="1" t="shared" si="1"/>
        <v>132648.666666667</v>
      </c>
      <c r="I58" s="23">
        <f ca="1" t="shared" si="2"/>
        <v>66324.3333333333</v>
      </c>
      <c r="J58" s="23">
        <f ca="1" t="shared" si="3"/>
        <v>26529.7333333333</v>
      </c>
      <c r="K58" s="23">
        <f ca="1" t="shared" si="4"/>
        <v>13264.8666666667</v>
      </c>
      <c r="L58" s="23">
        <v>2500</v>
      </c>
      <c r="M58" s="23">
        <v>3000</v>
      </c>
      <c r="N58" s="23">
        <v>1500</v>
      </c>
      <c r="O58" s="23">
        <f ca="1" t="shared" si="5"/>
        <v>7958.92</v>
      </c>
      <c r="P58" s="23">
        <f ca="1" t="shared" si="6"/>
        <v>7958.92</v>
      </c>
      <c r="Q58" s="24">
        <v>200</v>
      </c>
      <c r="R58" s="25"/>
      <c r="S58" s="23">
        <f ca="1" t="shared" si="7"/>
        <v>113118.933333333</v>
      </c>
      <c r="T58" s="23">
        <f ca="1" t="shared" si="8"/>
        <v>8158.92</v>
      </c>
      <c r="U58" s="26">
        <f ca="1" t="shared" si="9"/>
        <v>104960.013333333</v>
      </c>
    </row>
    <row r="59" spans="1:21">
      <c r="A59" s="19">
        <v>182</v>
      </c>
      <c r="B59" s="20" t="s">
        <v>106</v>
      </c>
      <c r="C59" s="20" t="s">
        <v>26</v>
      </c>
      <c r="D59" s="20" t="s">
        <v>27</v>
      </c>
      <c r="E59" s="21">
        <v>45005</v>
      </c>
      <c r="G59" s="22">
        <f ca="1" t="shared" si="0"/>
        <v>936150</v>
      </c>
      <c r="H59" s="23">
        <f ca="1" t="shared" si="1"/>
        <v>78012.5</v>
      </c>
      <c r="I59" s="23">
        <f ca="1" t="shared" si="2"/>
        <v>39006.25</v>
      </c>
      <c r="J59" s="23">
        <f ca="1" t="shared" si="3"/>
        <v>15602.5</v>
      </c>
      <c r="K59" s="23">
        <f ca="1" t="shared" si="4"/>
        <v>7801.25</v>
      </c>
      <c r="L59" s="23">
        <v>2500</v>
      </c>
      <c r="M59" s="23">
        <v>3000</v>
      </c>
      <c r="N59" s="23">
        <v>1500</v>
      </c>
      <c r="O59" s="23">
        <f ca="1" t="shared" si="5"/>
        <v>4680.75</v>
      </c>
      <c r="P59" s="23">
        <f ca="1" t="shared" si="6"/>
        <v>4680.75</v>
      </c>
      <c r="Q59" s="24">
        <v>200</v>
      </c>
      <c r="R59" s="25"/>
      <c r="S59" s="23">
        <f ca="1" t="shared" si="7"/>
        <v>69410</v>
      </c>
      <c r="T59" s="23">
        <f ca="1" t="shared" si="8"/>
        <v>4880.75</v>
      </c>
      <c r="U59" s="26">
        <f ca="1" t="shared" si="9"/>
        <v>64529.25</v>
      </c>
    </row>
    <row r="60" spans="1:21">
      <c r="A60" s="19">
        <v>116</v>
      </c>
      <c r="B60" s="20" t="s">
        <v>107</v>
      </c>
      <c r="C60" s="20" t="s">
        <v>23</v>
      </c>
      <c r="D60" s="20" t="s">
        <v>64</v>
      </c>
      <c r="E60" s="21">
        <v>44029</v>
      </c>
      <c r="G60" s="22">
        <f ca="1" t="shared" si="0"/>
        <v>1852484</v>
      </c>
      <c r="H60" s="23">
        <f ca="1" t="shared" si="1"/>
        <v>154373.666666667</v>
      </c>
      <c r="I60" s="23">
        <f ca="1" t="shared" si="2"/>
        <v>77186.8333333333</v>
      </c>
      <c r="J60" s="23">
        <f ca="1" t="shared" si="3"/>
        <v>30874.7333333333</v>
      </c>
      <c r="K60" s="23">
        <f ca="1" t="shared" si="4"/>
        <v>15437.3666666667</v>
      </c>
      <c r="L60" s="23">
        <v>2500</v>
      </c>
      <c r="M60" s="23">
        <v>3000</v>
      </c>
      <c r="N60" s="23">
        <v>1500</v>
      </c>
      <c r="O60" s="23">
        <f ca="1" t="shared" si="5"/>
        <v>9262.42</v>
      </c>
      <c r="P60" s="23">
        <f ca="1" t="shared" si="6"/>
        <v>9262.42</v>
      </c>
      <c r="Q60" s="24">
        <v>200</v>
      </c>
      <c r="R60" s="25"/>
      <c r="S60" s="23">
        <f ca="1" t="shared" si="7"/>
        <v>130498.933333333</v>
      </c>
      <c r="T60" s="23">
        <f ca="1" t="shared" si="8"/>
        <v>9462.42</v>
      </c>
      <c r="U60" s="26">
        <f ca="1" t="shared" si="9"/>
        <v>121036.513333333</v>
      </c>
    </row>
    <row r="61" spans="1:21">
      <c r="A61" s="19">
        <v>102</v>
      </c>
      <c r="B61" s="20" t="s">
        <v>108</v>
      </c>
      <c r="C61" s="20" t="s">
        <v>39</v>
      </c>
      <c r="D61" s="20" t="s">
        <v>40</v>
      </c>
      <c r="E61" s="21">
        <v>43580</v>
      </c>
      <c r="G61" s="22">
        <f ca="1" t="shared" si="0"/>
        <v>1062470</v>
      </c>
      <c r="H61" s="23">
        <f ca="1" t="shared" si="1"/>
        <v>88539.1666666667</v>
      </c>
      <c r="I61" s="23">
        <f ca="1" t="shared" si="2"/>
        <v>44269.5833333333</v>
      </c>
      <c r="J61" s="23">
        <f ca="1" t="shared" si="3"/>
        <v>17707.8333333333</v>
      </c>
      <c r="K61" s="23">
        <f ca="1" t="shared" si="4"/>
        <v>8853.91666666667</v>
      </c>
      <c r="L61" s="23">
        <v>2500</v>
      </c>
      <c r="M61" s="23">
        <v>3000</v>
      </c>
      <c r="N61" s="23">
        <v>1500</v>
      </c>
      <c r="O61" s="23">
        <f ca="1" t="shared" si="5"/>
        <v>5312.35</v>
      </c>
      <c r="P61" s="23">
        <f ca="1" t="shared" si="6"/>
        <v>5312.35</v>
      </c>
      <c r="Q61" s="24">
        <v>200</v>
      </c>
      <c r="R61" s="25"/>
      <c r="S61" s="23">
        <f ca="1" t="shared" si="7"/>
        <v>77831.3333333333</v>
      </c>
      <c r="T61" s="23">
        <f ca="1" t="shared" si="8"/>
        <v>5512.35</v>
      </c>
      <c r="U61" s="26">
        <f ca="1" t="shared" si="9"/>
        <v>72318.9833333333</v>
      </c>
    </row>
    <row r="62" spans="1:21">
      <c r="A62" s="19">
        <v>125</v>
      </c>
      <c r="B62" s="20" t="s">
        <v>109</v>
      </c>
      <c r="C62" s="20" t="s">
        <v>26</v>
      </c>
      <c r="D62" s="20" t="s">
        <v>110</v>
      </c>
      <c r="E62" s="21">
        <v>44342</v>
      </c>
      <c r="G62" s="22">
        <f ca="1" t="shared" si="0"/>
        <v>1772741</v>
      </c>
      <c r="H62" s="23">
        <f ca="1" t="shared" si="1"/>
        <v>147728.416666667</v>
      </c>
      <c r="I62" s="23">
        <f ca="1" t="shared" si="2"/>
        <v>73864.2083333333</v>
      </c>
      <c r="J62" s="23">
        <f ca="1" t="shared" si="3"/>
        <v>29545.6833333333</v>
      </c>
      <c r="K62" s="23">
        <f ca="1" t="shared" si="4"/>
        <v>14772.8416666667</v>
      </c>
      <c r="L62" s="23">
        <v>2500</v>
      </c>
      <c r="M62" s="23">
        <v>3000</v>
      </c>
      <c r="N62" s="23">
        <v>1500</v>
      </c>
      <c r="O62" s="23">
        <f ca="1" t="shared" si="5"/>
        <v>8863.705</v>
      </c>
      <c r="P62" s="23">
        <f ca="1" t="shared" si="6"/>
        <v>8863.705</v>
      </c>
      <c r="Q62" s="24">
        <v>200</v>
      </c>
      <c r="R62" s="25"/>
      <c r="S62" s="23">
        <f ca="1" t="shared" si="7"/>
        <v>125182.733333333</v>
      </c>
      <c r="T62" s="23">
        <f ca="1" t="shared" si="8"/>
        <v>9063.705</v>
      </c>
      <c r="U62" s="26">
        <f ca="1" t="shared" si="9"/>
        <v>116119.028333333</v>
      </c>
    </row>
    <row r="63" spans="1:21">
      <c r="A63" s="19">
        <v>126</v>
      </c>
      <c r="B63" s="20" t="s">
        <v>111</v>
      </c>
      <c r="C63" s="20" t="s">
        <v>47</v>
      </c>
      <c r="D63" s="20" t="s">
        <v>48</v>
      </c>
      <c r="E63" s="21">
        <v>44365</v>
      </c>
      <c r="G63" s="22">
        <f ca="1" t="shared" si="0"/>
        <v>1051007</v>
      </c>
      <c r="H63" s="23">
        <f ca="1" t="shared" si="1"/>
        <v>87583.9166666667</v>
      </c>
      <c r="I63" s="23">
        <f ca="1" t="shared" si="2"/>
        <v>43791.9583333333</v>
      </c>
      <c r="J63" s="23">
        <f ca="1" t="shared" si="3"/>
        <v>17516.7833333333</v>
      </c>
      <c r="K63" s="23">
        <f ca="1" t="shared" si="4"/>
        <v>8758.39166666667</v>
      </c>
      <c r="L63" s="23">
        <v>2500</v>
      </c>
      <c r="M63" s="23">
        <v>3000</v>
      </c>
      <c r="N63" s="23">
        <v>1500</v>
      </c>
      <c r="O63" s="23">
        <f ca="1" t="shared" si="5"/>
        <v>5255.035</v>
      </c>
      <c r="P63" s="23">
        <f ca="1" t="shared" si="6"/>
        <v>5255.035</v>
      </c>
      <c r="Q63" s="24">
        <v>200</v>
      </c>
      <c r="R63" s="25"/>
      <c r="S63" s="23">
        <f ca="1" t="shared" si="7"/>
        <v>77067.1333333333</v>
      </c>
      <c r="T63" s="23">
        <f ca="1" t="shared" si="8"/>
        <v>5455.035</v>
      </c>
      <c r="U63" s="26">
        <f ca="1" t="shared" si="9"/>
        <v>71612.0983333333</v>
      </c>
    </row>
    <row r="64" spans="1:21">
      <c r="A64" s="19">
        <v>101</v>
      </c>
      <c r="B64" s="20" t="s">
        <v>112</v>
      </c>
      <c r="C64" s="20" t="s">
        <v>47</v>
      </c>
      <c r="D64" s="20" t="s">
        <v>97</v>
      </c>
      <c r="E64" s="21">
        <v>43542</v>
      </c>
      <c r="G64" s="22">
        <f ca="1" t="shared" si="0"/>
        <v>1116501</v>
      </c>
      <c r="H64" s="23">
        <f ca="1" t="shared" si="1"/>
        <v>93041.75</v>
      </c>
      <c r="I64" s="23">
        <f ca="1" t="shared" si="2"/>
        <v>46520.875</v>
      </c>
      <c r="J64" s="23">
        <f ca="1" t="shared" si="3"/>
        <v>18608.35</v>
      </c>
      <c r="K64" s="23">
        <f ca="1" t="shared" si="4"/>
        <v>9304.175</v>
      </c>
      <c r="L64" s="23">
        <v>2500</v>
      </c>
      <c r="M64" s="23">
        <v>3000</v>
      </c>
      <c r="N64" s="23">
        <v>1500</v>
      </c>
      <c r="O64" s="23">
        <f ca="1" t="shared" si="5"/>
        <v>5582.505</v>
      </c>
      <c r="P64" s="23">
        <f ca="1" t="shared" si="6"/>
        <v>5582.505</v>
      </c>
      <c r="Q64" s="24">
        <v>200</v>
      </c>
      <c r="R64" s="25"/>
      <c r="S64" s="23">
        <f ca="1" t="shared" si="7"/>
        <v>81433.4</v>
      </c>
      <c r="T64" s="23">
        <f ca="1" t="shared" si="8"/>
        <v>5782.505</v>
      </c>
      <c r="U64" s="26">
        <f ca="1" t="shared" si="9"/>
        <v>75650.895</v>
      </c>
    </row>
    <row r="65" spans="1:21">
      <c r="A65" s="19">
        <v>141</v>
      </c>
      <c r="B65" s="20" t="s">
        <v>113</v>
      </c>
      <c r="C65" s="20" t="s">
        <v>35</v>
      </c>
      <c r="D65" s="20" t="s">
        <v>36</v>
      </c>
      <c r="E65" s="21">
        <v>44819</v>
      </c>
      <c r="G65" s="22">
        <f ca="1" t="shared" si="0"/>
        <v>1740427</v>
      </c>
      <c r="H65" s="23">
        <f ca="1" t="shared" si="1"/>
        <v>145035.583333333</v>
      </c>
      <c r="I65" s="23">
        <f ca="1" t="shared" si="2"/>
        <v>72517.7916666667</v>
      </c>
      <c r="J65" s="23">
        <f ca="1" t="shared" si="3"/>
        <v>29007.1166666667</v>
      </c>
      <c r="K65" s="23">
        <f ca="1" t="shared" si="4"/>
        <v>14503.5583333333</v>
      </c>
      <c r="L65" s="23">
        <v>2500</v>
      </c>
      <c r="M65" s="23">
        <v>3000</v>
      </c>
      <c r="N65" s="23">
        <v>1500</v>
      </c>
      <c r="O65" s="23">
        <f ca="1" t="shared" si="5"/>
        <v>8702.135</v>
      </c>
      <c r="P65" s="23">
        <f ca="1" t="shared" si="6"/>
        <v>8702.135</v>
      </c>
      <c r="Q65" s="24">
        <v>200</v>
      </c>
      <c r="R65" s="25"/>
      <c r="S65" s="23">
        <f ca="1" t="shared" si="7"/>
        <v>123028.466666667</v>
      </c>
      <c r="T65" s="23">
        <f ca="1" t="shared" si="8"/>
        <v>8902.135</v>
      </c>
      <c r="U65" s="26">
        <f ca="1" t="shared" si="9"/>
        <v>114126.331666667</v>
      </c>
    </row>
    <row r="66" spans="1:21">
      <c r="A66" s="19">
        <v>199</v>
      </c>
      <c r="B66" s="20" t="s">
        <v>114</v>
      </c>
      <c r="C66" s="20" t="s">
        <v>35</v>
      </c>
      <c r="D66" s="20" t="s">
        <v>43</v>
      </c>
      <c r="E66" s="21">
        <v>44771</v>
      </c>
      <c r="G66" s="22">
        <f ca="1" t="shared" si="0"/>
        <v>1134043</v>
      </c>
      <c r="H66" s="23">
        <f ca="1" t="shared" si="1"/>
        <v>94503.5833333333</v>
      </c>
      <c r="I66" s="23">
        <f ca="1" t="shared" si="2"/>
        <v>47251.7916666667</v>
      </c>
      <c r="J66" s="23">
        <f ca="1" t="shared" si="3"/>
        <v>18900.7166666667</v>
      </c>
      <c r="K66" s="23">
        <f ca="1" t="shared" si="4"/>
        <v>9450.35833333333</v>
      </c>
      <c r="L66" s="23">
        <v>2500</v>
      </c>
      <c r="M66" s="23">
        <v>3000</v>
      </c>
      <c r="N66" s="23">
        <v>1500</v>
      </c>
      <c r="O66" s="23">
        <f ca="1" t="shared" si="5"/>
        <v>5670.215</v>
      </c>
      <c r="P66" s="23">
        <f ca="1" t="shared" si="6"/>
        <v>5670.215</v>
      </c>
      <c r="Q66" s="24">
        <v>200</v>
      </c>
      <c r="R66" s="25"/>
      <c r="S66" s="23">
        <f ca="1" t="shared" si="7"/>
        <v>82602.8666666667</v>
      </c>
      <c r="T66" s="23">
        <f ca="1" t="shared" si="8"/>
        <v>5870.215</v>
      </c>
      <c r="U66" s="26">
        <f ca="1" t="shared" si="9"/>
        <v>76732.6516666667</v>
      </c>
    </row>
    <row r="67" spans="1:21">
      <c r="A67" s="19">
        <v>107</v>
      </c>
      <c r="B67" s="20" t="s">
        <v>115</v>
      </c>
      <c r="C67" s="20" t="s">
        <v>35</v>
      </c>
      <c r="D67" s="20" t="s">
        <v>43</v>
      </c>
      <c r="E67" s="21">
        <v>43753</v>
      </c>
      <c r="G67" s="22">
        <f ca="1" t="shared" ref="G67:G102" si="10">RANDBETWEEN(850000,2000000)</f>
        <v>1518875</v>
      </c>
      <c r="H67" s="23">
        <f ca="1" t="shared" ref="H67:H102" si="11">G67/12</f>
        <v>126572.916666667</v>
      </c>
      <c r="I67" s="23">
        <f ca="1" t="shared" ref="I67:I102" si="12">H67*50%</f>
        <v>63286.4583333333</v>
      </c>
      <c r="J67" s="23">
        <f ca="1" t="shared" ref="J67:J102" si="13">I67*40%</f>
        <v>25314.5833333333</v>
      </c>
      <c r="K67" s="23">
        <f ca="1" t="shared" ref="K67:K102" si="14">I67*20%</f>
        <v>12657.2916666667</v>
      </c>
      <c r="L67" s="23">
        <v>2500</v>
      </c>
      <c r="M67" s="23">
        <v>3000</v>
      </c>
      <c r="N67" s="23">
        <v>1500</v>
      </c>
      <c r="O67" s="23">
        <f ca="1" t="shared" ref="O67:O102" si="15">I67*12%</f>
        <v>7594.375</v>
      </c>
      <c r="P67" s="23">
        <f ca="1" t="shared" ref="P67:P102" si="16">I67*12%</f>
        <v>7594.375</v>
      </c>
      <c r="Q67" s="24">
        <v>200</v>
      </c>
      <c r="R67" s="25"/>
      <c r="S67" s="23">
        <f ca="1" t="shared" ref="S67:S102" si="17">SUM(I67:N67)</f>
        <v>108258.333333333</v>
      </c>
      <c r="T67" s="23">
        <f ca="1" t="shared" ref="T67:T102" si="18">O67+Q67</f>
        <v>7794.375</v>
      </c>
      <c r="U67" s="26">
        <f ca="1" t="shared" ref="U67:U102" si="19">S67-T67</f>
        <v>100463.958333333</v>
      </c>
    </row>
    <row r="68" spans="1:21">
      <c r="A68" s="19">
        <v>179</v>
      </c>
      <c r="B68" s="20" t="s">
        <v>116</v>
      </c>
      <c r="C68" s="20" t="s">
        <v>35</v>
      </c>
      <c r="D68" s="20" t="s">
        <v>71</v>
      </c>
      <c r="E68" s="21">
        <v>44722</v>
      </c>
      <c r="G68" s="22">
        <f ca="1" t="shared" si="10"/>
        <v>1680940</v>
      </c>
      <c r="H68" s="23">
        <f ca="1" t="shared" si="11"/>
        <v>140078.333333333</v>
      </c>
      <c r="I68" s="23">
        <f ca="1" t="shared" si="12"/>
        <v>70039.1666666667</v>
      </c>
      <c r="J68" s="23">
        <f ca="1" t="shared" si="13"/>
        <v>28015.6666666667</v>
      </c>
      <c r="K68" s="23">
        <f ca="1" t="shared" si="14"/>
        <v>14007.8333333333</v>
      </c>
      <c r="L68" s="23">
        <v>2500</v>
      </c>
      <c r="M68" s="23">
        <v>3000</v>
      </c>
      <c r="N68" s="23">
        <v>1500</v>
      </c>
      <c r="O68" s="23">
        <f ca="1" t="shared" si="15"/>
        <v>8404.7</v>
      </c>
      <c r="P68" s="23">
        <f ca="1" t="shared" si="16"/>
        <v>8404.7</v>
      </c>
      <c r="Q68" s="24">
        <v>200</v>
      </c>
      <c r="R68" s="25"/>
      <c r="S68" s="23">
        <f ca="1" t="shared" si="17"/>
        <v>119062.666666667</v>
      </c>
      <c r="T68" s="23">
        <f ca="1" t="shared" si="18"/>
        <v>8604.7</v>
      </c>
      <c r="U68" s="26">
        <f ca="1" t="shared" si="19"/>
        <v>110457.966666667</v>
      </c>
    </row>
    <row r="69" spans="1:21">
      <c r="A69" s="19">
        <v>170</v>
      </c>
      <c r="B69" s="20" t="s">
        <v>117</v>
      </c>
      <c r="C69" s="20" t="s">
        <v>47</v>
      </c>
      <c r="D69" s="20" t="s">
        <v>48</v>
      </c>
      <c r="E69" s="21">
        <v>43851</v>
      </c>
      <c r="G69" s="22">
        <f ca="1" t="shared" si="10"/>
        <v>1941303</v>
      </c>
      <c r="H69" s="23">
        <f ca="1" t="shared" si="11"/>
        <v>161775.25</v>
      </c>
      <c r="I69" s="23">
        <f ca="1" t="shared" si="12"/>
        <v>80887.625</v>
      </c>
      <c r="J69" s="23">
        <f ca="1" t="shared" si="13"/>
        <v>32355.05</v>
      </c>
      <c r="K69" s="23">
        <f ca="1" t="shared" si="14"/>
        <v>16177.525</v>
      </c>
      <c r="L69" s="23">
        <v>2500</v>
      </c>
      <c r="M69" s="23">
        <v>3000</v>
      </c>
      <c r="N69" s="23">
        <v>1500</v>
      </c>
      <c r="O69" s="23">
        <f ca="1" t="shared" si="15"/>
        <v>9706.515</v>
      </c>
      <c r="P69" s="23">
        <f ca="1" t="shared" si="16"/>
        <v>9706.515</v>
      </c>
      <c r="Q69" s="24">
        <v>200</v>
      </c>
      <c r="R69" s="25"/>
      <c r="S69" s="23">
        <f ca="1" t="shared" si="17"/>
        <v>136420.2</v>
      </c>
      <c r="T69" s="23">
        <f ca="1" t="shared" si="18"/>
        <v>9906.515</v>
      </c>
      <c r="U69" s="26">
        <f ca="1" t="shared" si="19"/>
        <v>126513.685</v>
      </c>
    </row>
    <row r="70" spans="1:21">
      <c r="A70" s="19">
        <v>185</v>
      </c>
      <c r="B70" s="20" t="s">
        <v>118</v>
      </c>
      <c r="C70" s="20" t="s">
        <v>39</v>
      </c>
      <c r="D70" s="20" t="s">
        <v>40</v>
      </c>
      <c r="E70" s="21">
        <v>45272</v>
      </c>
      <c r="G70" s="22">
        <f ca="1" t="shared" si="10"/>
        <v>1865583</v>
      </c>
      <c r="H70" s="23">
        <f ca="1" t="shared" si="11"/>
        <v>155465.25</v>
      </c>
      <c r="I70" s="23">
        <f ca="1" t="shared" si="12"/>
        <v>77732.625</v>
      </c>
      <c r="J70" s="23">
        <f ca="1" t="shared" si="13"/>
        <v>31093.05</v>
      </c>
      <c r="K70" s="23">
        <f ca="1" t="shared" si="14"/>
        <v>15546.525</v>
      </c>
      <c r="L70" s="23">
        <v>2500</v>
      </c>
      <c r="M70" s="23">
        <v>3000</v>
      </c>
      <c r="N70" s="23">
        <v>1500</v>
      </c>
      <c r="O70" s="23">
        <f ca="1" t="shared" si="15"/>
        <v>9327.915</v>
      </c>
      <c r="P70" s="23">
        <f ca="1" t="shared" si="16"/>
        <v>9327.915</v>
      </c>
      <c r="Q70" s="24">
        <v>200</v>
      </c>
      <c r="R70" s="25"/>
      <c r="S70" s="23">
        <f ca="1" t="shared" si="17"/>
        <v>131372.2</v>
      </c>
      <c r="T70" s="23">
        <f ca="1" t="shared" si="18"/>
        <v>9527.915</v>
      </c>
      <c r="U70" s="26">
        <f ca="1" t="shared" si="19"/>
        <v>121844.285</v>
      </c>
    </row>
    <row r="71" spans="1:21">
      <c r="A71" s="19">
        <v>164</v>
      </c>
      <c r="B71" s="20" t="s">
        <v>119</v>
      </c>
      <c r="C71" s="20" t="s">
        <v>23</v>
      </c>
      <c r="D71" s="20" t="s">
        <v>73</v>
      </c>
      <c r="E71" s="21">
        <v>45523</v>
      </c>
      <c r="G71" s="22">
        <f ca="1" t="shared" si="10"/>
        <v>999942</v>
      </c>
      <c r="H71" s="23">
        <f ca="1" t="shared" si="11"/>
        <v>83328.5</v>
      </c>
      <c r="I71" s="23">
        <f ca="1" t="shared" si="12"/>
        <v>41664.25</v>
      </c>
      <c r="J71" s="23">
        <f ca="1" t="shared" si="13"/>
        <v>16665.7</v>
      </c>
      <c r="K71" s="23">
        <f ca="1" t="shared" si="14"/>
        <v>8332.85</v>
      </c>
      <c r="L71" s="23">
        <v>2500</v>
      </c>
      <c r="M71" s="23">
        <v>3000</v>
      </c>
      <c r="N71" s="23">
        <v>1500</v>
      </c>
      <c r="O71" s="23">
        <f ca="1" t="shared" si="15"/>
        <v>4999.71</v>
      </c>
      <c r="P71" s="23">
        <f ca="1" t="shared" si="16"/>
        <v>4999.71</v>
      </c>
      <c r="Q71" s="24">
        <v>200</v>
      </c>
      <c r="R71" s="25"/>
      <c r="S71" s="23">
        <f ca="1" t="shared" si="17"/>
        <v>73662.8</v>
      </c>
      <c r="T71" s="23">
        <f ca="1" t="shared" si="18"/>
        <v>5199.71</v>
      </c>
      <c r="U71" s="26">
        <f ca="1" t="shared" si="19"/>
        <v>68463.09</v>
      </c>
    </row>
    <row r="72" spans="1:21">
      <c r="A72" s="19">
        <v>176</v>
      </c>
      <c r="B72" s="20" t="s">
        <v>120</v>
      </c>
      <c r="C72" s="20" t="s">
        <v>26</v>
      </c>
      <c r="D72" s="20" t="s">
        <v>60</v>
      </c>
      <c r="E72" s="21">
        <v>44448</v>
      </c>
      <c r="G72" s="22">
        <f ca="1" t="shared" si="10"/>
        <v>1243343</v>
      </c>
      <c r="H72" s="23">
        <f ca="1" t="shared" si="11"/>
        <v>103611.916666667</v>
      </c>
      <c r="I72" s="23">
        <f ca="1" t="shared" si="12"/>
        <v>51805.9583333333</v>
      </c>
      <c r="J72" s="23">
        <f ca="1" t="shared" si="13"/>
        <v>20722.3833333333</v>
      </c>
      <c r="K72" s="23">
        <f ca="1" t="shared" si="14"/>
        <v>10361.1916666667</v>
      </c>
      <c r="L72" s="23">
        <v>2500</v>
      </c>
      <c r="M72" s="23">
        <v>3000</v>
      </c>
      <c r="N72" s="23">
        <v>1500</v>
      </c>
      <c r="O72" s="23">
        <f ca="1" t="shared" si="15"/>
        <v>6216.715</v>
      </c>
      <c r="P72" s="23">
        <f ca="1" t="shared" si="16"/>
        <v>6216.715</v>
      </c>
      <c r="Q72" s="24">
        <v>200</v>
      </c>
      <c r="R72" s="25"/>
      <c r="S72" s="23">
        <f ca="1" t="shared" si="17"/>
        <v>89889.5333333333</v>
      </c>
      <c r="T72" s="23">
        <f ca="1" t="shared" si="18"/>
        <v>6416.715</v>
      </c>
      <c r="U72" s="26">
        <f ca="1" t="shared" si="19"/>
        <v>83472.8183333333</v>
      </c>
    </row>
    <row r="73" spans="1:21">
      <c r="A73" s="19">
        <v>191</v>
      </c>
      <c r="B73" s="20" t="s">
        <v>121</v>
      </c>
      <c r="C73" s="20" t="s">
        <v>35</v>
      </c>
      <c r="D73" s="20" t="s">
        <v>71</v>
      </c>
      <c r="E73" s="21">
        <v>43685</v>
      </c>
      <c r="G73" s="22">
        <f ca="1" t="shared" si="10"/>
        <v>1183137</v>
      </c>
      <c r="H73" s="23">
        <f ca="1" t="shared" si="11"/>
        <v>98594.75</v>
      </c>
      <c r="I73" s="23">
        <f ca="1" t="shared" si="12"/>
        <v>49297.375</v>
      </c>
      <c r="J73" s="23">
        <f ca="1" t="shared" si="13"/>
        <v>19718.95</v>
      </c>
      <c r="K73" s="23">
        <f ca="1" t="shared" si="14"/>
        <v>9859.475</v>
      </c>
      <c r="L73" s="23">
        <v>2500</v>
      </c>
      <c r="M73" s="23">
        <v>3000</v>
      </c>
      <c r="N73" s="23">
        <v>1500</v>
      </c>
      <c r="O73" s="23">
        <f ca="1" t="shared" si="15"/>
        <v>5915.685</v>
      </c>
      <c r="P73" s="23">
        <f ca="1" t="shared" si="16"/>
        <v>5915.685</v>
      </c>
      <c r="Q73" s="24">
        <v>200</v>
      </c>
      <c r="R73" s="25"/>
      <c r="S73" s="23">
        <f ca="1" t="shared" si="17"/>
        <v>85875.8</v>
      </c>
      <c r="T73" s="23">
        <f ca="1" t="shared" si="18"/>
        <v>6115.685</v>
      </c>
      <c r="U73" s="26">
        <f ca="1" t="shared" si="19"/>
        <v>79760.115</v>
      </c>
    </row>
    <row r="74" spans="1:21">
      <c r="A74" s="19">
        <v>175</v>
      </c>
      <c r="B74" s="20" t="s">
        <v>122</v>
      </c>
      <c r="C74" s="20" t="s">
        <v>39</v>
      </c>
      <c r="D74" s="20" t="s">
        <v>40</v>
      </c>
      <c r="E74" s="21">
        <v>44376</v>
      </c>
      <c r="G74" s="22">
        <f ca="1" t="shared" si="10"/>
        <v>1322898</v>
      </c>
      <c r="H74" s="23">
        <f ca="1" t="shared" si="11"/>
        <v>110241.5</v>
      </c>
      <c r="I74" s="23">
        <f ca="1" t="shared" si="12"/>
        <v>55120.75</v>
      </c>
      <c r="J74" s="23">
        <f ca="1" t="shared" si="13"/>
        <v>22048.3</v>
      </c>
      <c r="K74" s="23">
        <f ca="1" t="shared" si="14"/>
        <v>11024.15</v>
      </c>
      <c r="L74" s="23">
        <v>2500</v>
      </c>
      <c r="M74" s="23">
        <v>3000</v>
      </c>
      <c r="N74" s="23">
        <v>1500</v>
      </c>
      <c r="O74" s="23">
        <f ca="1" t="shared" si="15"/>
        <v>6614.49</v>
      </c>
      <c r="P74" s="23">
        <f ca="1" t="shared" si="16"/>
        <v>6614.49</v>
      </c>
      <c r="Q74" s="24">
        <v>200</v>
      </c>
      <c r="R74" s="25"/>
      <c r="S74" s="23">
        <f ca="1" t="shared" si="17"/>
        <v>95193.2</v>
      </c>
      <c r="T74" s="23">
        <f ca="1" t="shared" si="18"/>
        <v>6814.49</v>
      </c>
      <c r="U74" s="26">
        <f ca="1" t="shared" si="19"/>
        <v>88378.71</v>
      </c>
    </row>
    <row r="75" spans="1:21">
      <c r="A75" s="19">
        <v>146</v>
      </c>
      <c r="B75" s="20" t="s">
        <v>123</v>
      </c>
      <c r="C75" s="20" t="s">
        <v>26</v>
      </c>
      <c r="D75" s="20" t="s">
        <v>27</v>
      </c>
      <c r="E75" s="21">
        <v>44974</v>
      </c>
      <c r="G75" s="22">
        <f ca="1" t="shared" si="10"/>
        <v>1691896</v>
      </c>
      <c r="H75" s="23">
        <f ca="1" t="shared" si="11"/>
        <v>140991.333333333</v>
      </c>
      <c r="I75" s="23">
        <f ca="1" t="shared" si="12"/>
        <v>70495.6666666667</v>
      </c>
      <c r="J75" s="23">
        <f ca="1" t="shared" si="13"/>
        <v>28198.2666666667</v>
      </c>
      <c r="K75" s="23">
        <f ca="1" t="shared" si="14"/>
        <v>14099.1333333333</v>
      </c>
      <c r="L75" s="23">
        <v>2500</v>
      </c>
      <c r="M75" s="23">
        <v>3000</v>
      </c>
      <c r="N75" s="23">
        <v>1500</v>
      </c>
      <c r="O75" s="23">
        <f ca="1" t="shared" si="15"/>
        <v>8459.48</v>
      </c>
      <c r="P75" s="23">
        <f ca="1" t="shared" si="16"/>
        <v>8459.48</v>
      </c>
      <c r="Q75" s="24">
        <v>200</v>
      </c>
      <c r="R75" s="25"/>
      <c r="S75" s="23">
        <f ca="1" t="shared" si="17"/>
        <v>119793.066666667</v>
      </c>
      <c r="T75" s="23">
        <f ca="1" t="shared" si="18"/>
        <v>8659.48</v>
      </c>
      <c r="U75" s="26">
        <f ca="1" t="shared" si="19"/>
        <v>111133.586666667</v>
      </c>
    </row>
    <row r="76" spans="1:21">
      <c r="A76" s="19">
        <v>161</v>
      </c>
      <c r="B76" s="20" t="s">
        <v>124</v>
      </c>
      <c r="C76" s="20" t="s">
        <v>35</v>
      </c>
      <c r="D76" s="20" t="s">
        <v>71</v>
      </c>
      <c r="E76" s="21">
        <v>45435</v>
      </c>
      <c r="G76" s="22">
        <f ca="1" t="shared" si="10"/>
        <v>1868494</v>
      </c>
      <c r="H76" s="23">
        <f ca="1" t="shared" si="11"/>
        <v>155707.833333333</v>
      </c>
      <c r="I76" s="23">
        <f ca="1" t="shared" si="12"/>
        <v>77853.9166666667</v>
      </c>
      <c r="J76" s="23">
        <f ca="1" t="shared" si="13"/>
        <v>31141.5666666667</v>
      </c>
      <c r="K76" s="23">
        <f ca="1" t="shared" si="14"/>
        <v>15570.7833333333</v>
      </c>
      <c r="L76" s="23">
        <v>2500</v>
      </c>
      <c r="M76" s="23">
        <v>3000</v>
      </c>
      <c r="N76" s="23">
        <v>1500</v>
      </c>
      <c r="O76" s="23">
        <f ca="1" t="shared" si="15"/>
        <v>9342.47</v>
      </c>
      <c r="P76" s="23">
        <f ca="1" t="shared" si="16"/>
        <v>9342.47</v>
      </c>
      <c r="Q76" s="24">
        <v>200</v>
      </c>
      <c r="R76" s="25"/>
      <c r="S76" s="23">
        <f ca="1" t="shared" si="17"/>
        <v>131566.266666667</v>
      </c>
      <c r="T76" s="23">
        <f ca="1" t="shared" si="18"/>
        <v>9542.47</v>
      </c>
      <c r="U76" s="26">
        <f ca="1" t="shared" si="19"/>
        <v>122023.796666667</v>
      </c>
    </row>
    <row r="77" spans="1:21">
      <c r="A77" s="19">
        <v>168</v>
      </c>
      <c r="B77" s="20" t="s">
        <v>125</v>
      </c>
      <c r="C77" s="20" t="s">
        <v>32</v>
      </c>
      <c r="D77" s="20" t="s">
        <v>33</v>
      </c>
      <c r="E77" s="21">
        <v>43656</v>
      </c>
      <c r="G77" s="22">
        <f ca="1" t="shared" si="10"/>
        <v>1627778</v>
      </c>
      <c r="H77" s="23">
        <f ca="1" t="shared" si="11"/>
        <v>135648.166666667</v>
      </c>
      <c r="I77" s="23">
        <f ca="1" t="shared" si="12"/>
        <v>67824.0833333333</v>
      </c>
      <c r="J77" s="23">
        <f ca="1" t="shared" si="13"/>
        <v>27129.6333333333</v>
      </c>
      <c r="K77" s="23">
        <f ca="1" t="shared" si="14"/>
        <v>13564.8166666667</v>
      </c>
      <c r="L77" s="23">
        <v>2500</v>
      </c>
      <c r="M77" s="23">
        <v>3000</v>
      </c>
      <c r="N77" s="23">
        <v>1500</v>
      </c>
      <c r="O77" s="23">
        <f ca="1" t="shared" si="15"/>
        <v>8138.89</v>
      </c>
      <c r="P77" s="23">
        <f ca="1" t="shared" si="16"/>
        <v>8138.89</v>
      </c>
      <c r="Q77" s="24">
        <v>200</v>
      </c>
      <c r="R77" s="25"/>
      <c r="S77" s="23">
        <f ca="1" t="shared" si="17"/>
        <v>115518.533333333</v>
      </c>
      <c r="T77" s="23">
        <f ca="1" t="shared" si="18"/>
        <v>8338.89</v>
      </c>
      <c r="U77" s="26">
        <f ca="1" t="shared" si="19"/>
        <v>107179.643333333</v>
      </c>
    </row>
    <row r="78" spans="1:21">
      <c r="A78" s="19">
        <v>147</v>
      </c>
      <c r="B78" s="20" t="s">
        <v>126</v>
      </c>
      <c r="C78" s="20" t="s">
        <v>26</v>
      </c>
      <c r="D78" s="20" t="s">
        <v>110</v>
      </c>
      <c r="E78" s="21">
        <v>44999</v>
      </c>
      <c r="G78" s="22">
        <f ca="1" t="shared" si="10"/>
        <v>1318622</v>
      </c>
      <c r="H78" s="23">
        <f ca="1" t="shared" si="11"/>
        <v>109885.166666667</v>
      </c>
      <c r="I78" s="23">
        <f ca="1" t="shared" si="12"/>
        <v>54942.5833333333</v>
      </c>
      <c r="J78" s="23">
        <f ca="1" t="shared" si="13"/>
        <v>21977.0333333333</v>
      </c>
      <c r="K78" s="23">
        <f ca="1" t="shared" si="14"/>
        <v>10988.5166666667</v>
      </c>
      <c r="L78" s="23">
        <v>2500</v>
      </c>
      <c r="M78" s="23">
        <v>3000</v>
      </c>
      <c r="N78" s="23">
        <v>1500</v>
      </c>
      <c r="O78" s="23">
        <f ca="1" t="shared" si="15"/>
        <v>6593.11</v>
      </c>
      <c r="P78" s="23">
        <f ca="1" t="shared" si="16"/>
        <v>6593.11</v>
      </c>
      <c r="Q78" s="24">
        <v>200</v>
      </c>
      <c r="R78" s="25"/>
      <c r="S78" s="23">
        <f ca="1" t="shared" si="17"/>
        <v>94908.1333333333</v>
      </c>
      <c r="T78" s="23">
        <f ca="1" t="shared" si="18"/>
        <v>6793.11</v>
      </c>
      <c r="U78" s="26">
        <f ca="1" t="shared" si="19"/>
        <v>88115.0233333333</v>
      </c>
    </row>
    <row r="79" spans="1:21">
      <c r="A79" s="19">
        <v>103</v>
      </c>
      <c r="B79" s="20" t="s">
        <v>127</v>
      </c>
      <c r="C79" s="20" t="s">
        <v>32</v>
      </c>
      <c r="D79" s="20" t="s">
        <v>33</v>
      </c>
      <c r="E79" s="21">
        <v>43627</v>
      </c>
      <c r="G79" s="22">
        <f ca="1" t="shared" si="10"/>
        <v>1157143</v>
      </c>
      <c r="H79" s="23">
        <f ca="1" t="shared" si="11"/>
        <v>96428.5833333333</v>
      </c>
      <c r="I79" s="23">
        <f ca="1" t="shared" si="12"/>
        <v>48214.2916666667</v>
      </c>
      <c r="J79" s="23">
        <f ca="1" t="shared" si="13"/>
        <v>19285.7166666667</v>
      </c>
      <c r="K79" s="23">
        <f ca="1" t="shared" si="14"/>
        <v>9642.85833333333</v>
      </c>
      <c r="L79" s="23">
        <v>2500</v>
      </c>
      <c r="M79" s="23">
        <v>3000</v>
      </c>
      <c r="N79" s="23">
        <v>1500</v>
      </c>
      <c r="O79" s="23">
        <f ca="1" t="shared" si="15"/>
        <v>5785.715</v>
      </c>
      <c r="P79" s="23">
        <f ca="1" t="shared" si="16"/>
        <v>5785.715</v>
      </c>
      <c r="Q79" s="24">
        <v>200</v>
      </c>
      <c r="R79" s="25"/>
      <c r="S79" s="23">
        <f ca="1" t="shared" si="17"/>
        <v>84142.8666666667</v>
      </c>
      <c r="T79" s="23">
        <f ca="1" t="shared" si="18"/>
        <v>5985.715</v>
      </c>
      <c r="U79" s="26">
        <f ca="1" t="shared" si="19"/>
        <v>78157.1516666667</v>
      </c>
    </row>
    <row r="80" spans="1:21">
      <c r="A80" s="19">
        <v>153</v>
      </c>
      <c r="B80" s="20" t="s">
        <v>128</v>
      </c>
      <c r="C80" s="20" t="s">
        <v>32</v>
      </c>
      <c r="D80" s="20" t="s">
        <v>56</v>
      </c>
      <c r="E80" s="21">
        <v>45183</v>
      </c>
      <c r="G80" s="22">
        <f ca="1" t="shared" si="10"/>
        <v>1417252</v>
      </c>
      <c r="H80" s="23">
        <f ca="1" t="shared" si="11"/>
        <v>118104.333333333</v>
      </c>
      <c r="I80" s="23">
        <f ca="1" t="shared" si="12"/>
        <v>59052.1666666667</v>
      </c>
      <c r="J80" s="23">
        <f ca="1" t="shared" si="13"/>
        <v>23620.8666666667</v>
      </c>
      <c r="K80" s="23">
        <f ca="1" t="shared" si="14"/>
        <v>11810.4333333333</v>
      </c>
      <c r="L80" s="23">
        <v>2500</v>
      </c>
      <c r="M80" s="23">
        <v>3000</v>
      </c>
      <c r="N80" s="23">
        <v>1500</v>
      </c>
      <c r="O80" s="23">
        <f ca="1" t="shared" si="15"/>
        <v>7086.26</v>
      </c>
      <c r="P80" s="23">
        <f ca="1" t="shared" si="16"/>
        <v>7086.26</v>
      </c>
      <c r="Q80" s="24">
        <v>200</v>
      </c>
      <c r="R80" s="25"/>
      <c r="S80" s="23">
        <f ca="1" t="shared" si="17"/>
        <v>101483.466666667</v>
      </c>
      <c r="T80" s="23">
        <f ca="1" t="shared" si="18"/>
        <v>7286.26</v>
      </c>
      <c r="U80" s="26">
        <f ca="1" t="shared" si="19"/>
        <v>94197.2066666667</v>
      </c>
    </row>
    <row r="81" spans="1:21">
      <c r="A81" s="19">
        <v>143</v>
      </c>
      <c r="B81" s="20" t="s">
        <v>129</v>
      </c>
      <c r="C81" s="20" t="s">
        <v>32</v>
      </c>
      <c r="D81" s="20" t="s">
        <v>33</v>
      </c>
      <c r="E81" s="21">
        <v>44880</v>
      </c>
      <c r="G81" s="22">
        <f ca="1" t="shared" si="10"/>
        <v>1532433</v>
      </c>
      <c r="H81" s="23">
        <f ca="1" t="shared" si="11"/>
        <v>127702.75</v>
      </c>
      <c r="I81" s="23">
        <f ca="1" t="shared" si="12"/>
        <v>63851.375</v>
      </c>
      <c r="J81" s="23">
        <f ca="1" t="shared" si="13"/>
        <v>25540.55</v>
      </c>
      <c r="K81" s="23">
        <f ca="1" t="shared" si="14"/>
        <v>12770.275</v>
      </c>
      <c r="L81" s="23">
        <v>2500</v>
      </c>
      <c r="M81" s="23">
        <v>3000</v>
      </c>
      <c r="N81" s="23">
        <v>1500</v>
      </c>
      <c r="O81" s="23">
        <f ca="1" t="shared" si="15"/>
        <v>7662.165</v>
      </c>
      <c r="P81" s="23">
        <f ca="1" t="shared" si="16"/>
        <v>7662.165</v>
      </c>
      <c r="Q81" s="24">
        <v>200</v>
      </c>
      <c r="R81" s="25"/>
      <c r="S81" s="23">
        <f ca="1" t="shared" si="17"/>
        <v>109162.2</v>
      </c>
      <c r="T81" s="23">
        <f ca="1" t="shared" si="18"/>
        <v>7862.165</v>
      </c>
      <c r="U81" s="26">
        <f ca="1" t="shared" si="19"/>
        <v>101300.035</v>
      </c>
    </row>
    <row r="82" spans="1:21">
      <c r="A82" s="19">
        <v>114</v>
      </c>
      <c r="B82" s="20" t="s">
        <v>130</v>
      </c>
      <c r="C82" s="20" t="s">
        <v>23</v>
      </c>
      <c r="D82" s="20" t="s">
        <v>66</v>
      </c>
      <c r="E82" s="21">
        <v>43969</v>
      </c>
      <c r="G82" s="22">
        <f ca="1" t="shared" si="10"/>
        <v>1039422</v>
      </c>
      <c r="H82" s="23">
        <f ca="1" t="shared" si="11"/>
        <v>86618.5</v>
      </c>
      <c r="I82" s="23">
        <f ca="1" t="shared" si="12"/>
        <v>43309.25</v>
      </c>
      <c r="J82" s="23">
        <f ca="1" t="shared" si="13"/>
        <v>17323.7</v>
      </c>
      <c r="K82" s="23">
        <f ca="1" t="shared" si="14"/>
        <v>8661.85</v>
      </c>
      <c r="L82" s="23">
        <v>2500</v>
      </c>
      <c r="M82" s="23">
        <v>3000</v>
      </c>
      <c r="N82" s="23">
        <v>1500</v>
      </c>
      <c r="O82" s="23">
        <f ca="1" t="shared" si="15"/>
        <v>5197.11</v>
      </c>
      <c r="P82" s="23">
        <f ca="1" t="shared" si="16"/>
        <v>5197.11</v>
      </c>
      <c r="Q82" s="24">
        <v>200</v>
      </c>
      <c r="R82" s="25"/>
      <c r="S82" s="23">
        <f ca="1" t="shared" si="17"/>
        <v>76294.8</v>
      </c>
      <c r="T82" s="23">
        <f ca="1" t="shared" si="18"/>
        <v>5397.11</v>
      </c>
      <c r="U82" s="26">
        <f ca="1" t="shared" si="19"/>
        <v>70897.69</v>
      </c>
    </row>
    <row r="83" spans="1:21">
      <c r="A83" s="19">
        <v>180</v>
      </c>
      <c r="B83" s="20" t="s">
        <v>131</v>
      </c>
      <c r="C83" s="20" t="s">
        <v>47</v>
      </c>
      <c r="D83" s="20" t="s">
        <v>97</v>
      </c>
      <c r="E83" s="21">
        <v>44824</v>
      </c>
      <c r="G83" s="22">
        <f ca="1" t="shared" si="10"/>
        <v>1267187</v>
      </c>
      <c r="H83" s="23">
        <f ca="1" t="shared" si="11"/>
        <v>105598.916666667</v>
      </c>
      <c r="I83" s="23">
        <f ca="1" t="shared" si="12"/>
        <v>52799.4583333333</v>
      </c>
      <c r="J83" s="23">
        <f ca="1" t="shared" si="13"/>
        <v>21119.7833333333</v>
      </c>
      <c r="K83" s="23">
        <f ca="1" t="shared" si="14"/>
        <v>10559.8916666667</v>
      </c>
      <c r="L83" s="23">
        <v>2500</v>
      </c>
      <c r="M83" s="23">
        <v>3000</v>
      </c>
      <c r="N83" s="23">
        <v>1500</v>
      </c>
      <c r="O83" s="23">
        <f ca="1" t="shared" si="15"/>
        <v>6335.935</v>
      </c>
      <c r="P83" s="23">
        <f ca="1" t="shared" si="16"/>
        <v>6335.935</v>
      </c>
      <c r="Q83" s="24">
        <v>200</v>
      </c>
      <c r="R83" s="25"/>
      <c r="S83" s="23">
        <f ca="1" t="shared" si="17"/>
        <v>91479.1333333333</v>
      </c>
      <c r="T83" s="23">
        <f ca="1" t="shared" si="18"/>
        <v>6535.935</v>
      </c>
      <c r="U83" s="26">
        <f ca="1" t="shared" si="19"/>
        <v>84943.1983333333</v>
      </c>
    </row>
    <row r="84" spans="1:21">
      <c r="A84" s="19">
        <v>160</v>
      </c>
      <c r="B84" s="20" t="s">
        <v>132</v>
      </c>
      <c r="C84" s="20" t="s">
        <v>47</v>
      </c>
      <c r="D84" s="20" t="s">
        <v>97</v>
      </c>
      <c r="E84" s="21">
        <v>45397</v>
      </c>
      <c r="G84" s="22">
        <f ca="1" t="shared" si="10"/>
        <v>1642284</v>
      </c>
      <c r="H84" s="23">
        <f ca="1" t="shared" si="11"/>
        <v>136857</v>
      </c>
      <c r="I84" s="23">
        <f ca="1" t="shared" si="12"/>
        <v>68428.5</v>
      </c>
      <c r="J84" s="23">
        <f ca="1" t="shared" si="13"/>
        <v>27371.4</v>
      </c>
      <c r="K84" s="23">
        <f ca="1" t="shared" si="14"/>
        <v>13685.7</v>
      </c>
      <c r="L84" s="23">
        <v>2500</v>
      </c>
      <c r="M84" s="23">
        <v>3000</v>
      </c>
      <c r="N84" s="23">
        <v>1500</v>
      </c>
      <c r="O84" s="23">
        <f ca="1" t="shared" si="15"/>
        <v>8211.42</v>
      </c>
      <c r="P84" s="23">
        <f ca="1" t="shared" si="16"/>
        <v>8211.42</v>
      </c>
      <c r="Q84" s="24">
        <v>200</v>
      </c>
      <c r="R84" s="25"/>
      <c r="S84" s="23">
        <f ca="1" t="shared" si="17"/>
        <v>116485.6</v>
      </c>
      <c r="T84" s="23">
        <f ca="1" t="shared" si="18"/>
        <v>8411.42</v>
      </c>
      <c r="U84" s="26">
        <f ca="1" t="shared" si="19"/>
        <v>108074.18</v>
      </c>
    </row>
    <row r="85" spans="1:21">
      <c r="A85" s="19">
        <v>118</v>
      </c>
      <c r="B85" s="20" t="s">
        <v>133</v>
      </c>
      <c r="C85" s="20" t="s">
        <v>26</v>
      </c>
      <c r="D85" s="20" t="s">
        <v>27</v>
      </c>
      <c r="E85" s="21">
        <v>44095</v>
      </c>
      <c r="G85" s="22">
        <f ca="1" t="shared" si="10"/>
        <v>1182903</v>
      </c>
      <c r="H85" s="23">
        <f ca="1" t="shared" si="11"/>
        <v>98575.25</v>
      </c>
      <c r="I85" s="23">
        <f ca="1" t="shared" si="12"/>
        <v>49287.625</v>
      </c>
      <c r="J85" s="23">
        <f ca="1" t="shared" si="13"/>
        <v>19715.05</v>
      </c>
      <c r="K85" s="23">
        <f ca="1" t="shared" si="14"/>
        <v>9857.525</v>
      </c>
      <c r="L85" s="23">
        <v>2500</v>
      </c>
      <c r="M85" s="23">
        <v>3000</v>
      </c>
      <c r="N85" s="23">
        <v>1500</v>
      </c>
      <c r="O85" s="23">
        <f ca="1" t="shared" si="15"/>
        <v>5914.515</v>
      </c>
      <c r="P85" s="23">
        <f ca="1" t="shared" si="16"/>
        <v>5914.515</v>
      </c>
      <c r="Q85" s="24">
        <v>200</v>
      </c>
      <c r="R85" s="25"/>
      <c r="S85" s="23">
        <f ca="1" t="shared" si="17"/>
        <v>85860.2</v>
      </c>
      <c r="T85" s="23">
        <f ca="1" t="shared" si="18"/>
        <v>6114.515</v>
      </c>
      <c r="U85" s="26">
        <f ca="1" t="shared" si="19"/>
        <v>79745.685</v>
      </c>
    </row>
    <row r="86" spans="1:21">
      <c r="A86" s="19">
        <v>138</v>
      </c>
      <c r="B86" s="20" t="s">
        <v>134</v>
      </c>
      <c r="C86" s="20" t="s">
        <v>32</v>
      </c>
      <c r="D86" s="20" t="s">
        <v>33</v>
      </c>
      <c r="E86" s="21">
        <v>44729</v>
      </c>
      <c r="G86" s="22">
        <f ca="1" t="shared" si="10"/>
        <v>889214</v>
      </c>
      <c r="H86" s="23">
        <f ca="1" t="shared" si="11"/>
        <v>74101.1666666667</v>
      </c>
      <c r="I86" s="23">
        <f ca="1" t="shared" si="12"/>
        <v>37050.5833333333</v>
      </c>
      <c r="J86" s="23">
        <f ca="1" t="shared" si="13"/>
        <v>14820.2333333333</v>
      </c>
      <c r="K86" s="23">
        <f ca="1" t="shared" si="14"/>
        <v>7410.11666666667</v>
      </c>
      <c r="L86" s="23">
        <v>2500</v>
      </c>
      <c r="M86" s="23">
        <v>3000</v>
      </c>
      <c r="N86" s="23">
        <v>1500</v>
      </c>
      <c r="O86" s="23">
        <f ca="1" t="shared" si="15"/>
        <v>4446.07</v>
      </c>
      <c r="P86" s="23">
        <f ca="1" t="shared" si="16"/>
        <v>4446.07</v>
      </c>
      <c r="Q86" s="24">
        <v>200</v>
      </c>
      <c r="R86" s="25"/>
      <c r="S86" s="23">
        <f ca="1" t="shared" si="17"/>
        <v>66280.9333333333</v>
      </c>
      <c r="T86" s="23">
        <f ca="1" t="shared" si="18"/>
        <v>4646.07</v>
      </c>
      <c r="U86" s="26">
        <f ca="1" t="shared" si="19"/>
        <v>61634.8633333333</v>
      </c>
    </row>
    <row r="87" spans="1:21">
      <c r="A87" s="19">
        <v>158</v>
      </c>
      <c r="B87" s="20" t="s">
        <v>135</v>
      </c>
      <c r="C87" s="20" t="s">
        <v>32</v>
      </c>
      <c r="D87" s="20" t="s">
        <v>33</v>
      </c>
      <c r="E87" s="21">
        <v>45338</v>
      </c>
      <c r="G87" s="22">
        <f ca="1" t="shared" si="10"/>
        <v>1972487</v>
      </c>
      <c r="H87" s="23">
        <f ca="1" t="shared" si="11"/>
        <v>164373.916666667</v>
      </c>
      <c r="I87" s="23">
        <f ca="1" t="shared" si="12"/>
        <v>82186.9583333333</v>
      </c>
      <c r="J87" s="23">
        <f ca="1" t="shared" si="13"/>
        <v>32874.7833333333</v>
      </c>
      <c r="K87" s="23">
        <f ca="1" t="shared" si="14"/>
        <v>16437.3916666667</v>
      </c>
      <c r="L87" s="23">
        <v>2500</v>
      </c>
      <c r="M87" s="23">
        <v>3000</v>
      </c>
      <c r="N87" s="23">
        <v>1500</v>
      </c>
      <c r="O87" s="23">
        <f ca="1" t="shared" si="15"/>
        <v>9862.435</v>
      </c>
      <c r="P87" s="23">
        <f ca="1" t="shared" si="16"/>
        <v>9862.435</v>
      </c>
      <c r="Q87" s="24">
        <v>200</v>
      </c>
      <c r="R87" s="25"/>
      <c r="S87" s="23">
        <f ca="1" t="shared" si="17"/>
        <v>138499.133333333</v>
      </c>
      <c r="T87" s="23">
        <f ca="1" t="shared" si="18"/>
        <v>10062.435</v>
      </c>
      <c r="U87" s="26">
        <f ca="1" t="shared" si="19"/>
        <v>128436.698333333</v>
      </c>
    </row>
    <row r="88" spans="1:21">
      <c r="A88" s="19">
        <v>137</v>
      </c>
      <c r="B88" s="20" t="s">
        <v>136</v>
      </c>
      <c r="C88" s="20" t="s">
        <v>26</v>
      </c>
      <c r="D88" s="20" t="s">
        <v>51</v>
      </c>
      <c r="E88" s="21">
        <v>44706</v>
      </c>
      <c r="G88" s="22">
        <f ca="1" t="shared" si="10"/>
        <v>1676360</v>
      </c>
      <c r="H88" s="23">
        <f ca="1" t="shared" si="11"/>
        <v>139696.666666667</v>
      </c>
      <c r="I88" s="23">
        <f ca="1" t="shared" si="12"/>
        <v>69848.3333333333</v>
      </c>
      <c r="J88" s="23">
        <f ca="1" t="shared" si="13"/>
        <v>27939.3333333333</v>
      </c>
      <c r="K88" s="23">
        <f ca="1" t="shared" si="14"/>
        <v>13969.6666666667</v>
      </c>
      <c r="L88" s="23">
        <v>2500</v>
      </c>
      <c r="M88" s="23">
        <v>3000</v>
      </c>
      <c r="N88" s="23">
        <v>1500</v>
      </c>
      <c r="O88" s="23">
        <f ca="1" t="shared" si="15"/>
        <v>8381.8</v>
      </c>
      <c r="P88" s="23">
        <f ca="1" t="shared" si="16"/>
        <v>8381.8</v>
      </c>
      <c r="Q88" s="24">
        <v>200</v>
      </c>
      <c r="R88" s="25"/>
      <c r="S88" s="23">
        <f ca="1" t="shared" si="17"/>
        <v>118757.333333333</v>
      </c>
      <c r="T88" s="23">
        <f ca="1" t="shared" si="18"/>
        <v>8581.8</v>
      </c>
      <c r="U88" s="26">
        <f ca="1" t="shared" si="19"/>
        <v>110175.533333333</v>
      </c>
    </row>
    <row r="89" spans="1:21">
      <c r="A89" s="19">
        <v>149</v>
      </c>
      <c r="B89" s="20" t="s">
        <v>137</v>
      </c>
      <c r="C89" s="20" t="s">
        <v>35</v>
      </c>
      <c r="D89" s="20" t="s">
        <v>71</v>
      </c>
      <c r="E89" s="21">
        <v>45071</v>
      </c>
      <c r="G89" s="22">
        <f ca="1" t="shared" si="10"/>
        <v>954970</v>
      </c>
      <c r="H89" s="23">
        <f ca="1" t="shared" si="11"/>
        <v>79580.8333333333</v>
      </c>
      <c r="I89" s="23">
        <f ca="1" t="shared" si="12"/>
        <v>39790.4166666667</v>
      </c>
      <c r="J89" s="23">
        <f ca="1" t="shared" si="13"/>
        <v>15916.1666666667</v>
      </c>
      <c r="K89" s="23">
        <f ca="1" t="shared" si="14"/>
        <v>7958.08333333333</v>
      </c>
      <c r="L89" s="23">
        <v>2500</v>
      </c>
      <c r="M89" s="23">
        <v>3000</v>
      </c>
      <c r="N89" s="23">
        <v>1500</v>
      </c>
      <c r="O89" s="23">
        <f ca="1" t="shared" si="15"/>
        <v>4774.85</v>
      </c>
      <c r="P89" s="23">
        <f ca="1" t="shared" si="16"/>
        <v>4774.85</v>
      </c>
      <c r="Q89" s="24">
        <v>200</v>
      </c>
      <c r="R89" s="25"/>
      <c r="S89" s="23">
        <f ca="1" t="shared" si="17"/>
        <v>70664.6666666667</v>
      </c>
      <c r="T89" s="23">
        <f ca="1" t="shared" si="18"/>
        <v>4974.85</v>
      </c>
      <c r="U89" s="26">
        <f ca="1" t="shared" si="19"/>
        <v>65689.8166666667</v>
      </c>
    </row>
    <row r="90" spans="1:21">
      <c r="A90" s="19">
        <v>127</v>
      </c>
      <c r="B90" s="20" t="s">
        <v>138</v>
      </c>
      <c r="C90" s="20" t="s">
        <v>26</v>
      </c>
      <c r="D90" s="20" t="s">
        <v>51</v>
      </c>
      <c r="E90" s="21">
        <v>44390</v>
      </c>
      <c r="G90" s="22">
        <f ca="1" t="shared" si="10"/>
        <v>894997</v>
      </c>
      <c r="H90" s="23">
        <f ca="1" t="shared" si="11"/>
        <v>74583.0833333333</v>
      </c>
      <c r="I90" s="23">
        <f ca="1" t="shared" si="12"/>
        <v>37291.5416666667</v>
      </c>
      <c r="J90" s="23">
        <f ca="1" t="shared" si="13"/>
        <v>14916.6166666667</v>
      </c>
      <c r="K90" s="23">
        <f ca="1" t="shared" si="14"/>
        <v>7458.30833333333</v>
      </c>
      <c r="L90" s="23">
        <v>2500</v>
      </c>
      <c r="M90" s="23">
        <v>3000</v>
      </c>
      <c r="N90" s="23">
        <v>1500</v>
      </c>
      <c r="O90" s="23">
        <f ca="1" t="shared" si="15"/>
        <v>4474.985</v>
      </c>
      <c r="P90" s="23">
        <f ca="1" t="shared" si="16"/>
        <v>4474.985</v>
      </c>
      <c r="Q90" s="24">
        <v>200</v>
      </c>
      <c r="R90" s="25"/>
      <c r="S90" s="23">
        <f ca="1" t="shared" si="17"/>
        <v>66666.4666666667</v>
      </c>
      <c r="T90" s="23">
        <f ca="1" t="shared" si="18"/>
        <v>4674.985</v>
      </c>
      <c r="U90" s="26">
        <f ca="1" t="shared" si="19"/>
        <v>61991.4816666667</v>
      </c>
    </row>
    <row r="91" spans="1:21">
      <c r="A91" s="19">
        <v>167</v>
      </c>
      <c r="B91" s="20" t="s">
        <v>139</v>
      </c>
      <c r="C91" s="20" t="s">
        <v>26</v>
      </c>
      <c r="D91" s="20" t="s">
        <v>110</v>
      </c>
      <c r="E91" s="21">
        <v>43549</v>
      </c>
      <c r="G91" s="22">
        <f ca="1" t="shared" si="10"/>
        <v>1372767</v>
      </c>
      <c r="H91" s="23">
        <f ca="1" t="shared" si="11"/>
        <v>114397.25</v>
      </c>
      <c r="I91" s="23">
        <f ca="1" t="shared" si="12"/>
        <v>57198.625</v>
      </c>
      <c r="J91" s="23">
        <f ca="1" t="shared" si="13"/>
        <v>22879.45</v>
      </c>
      <c r="K91" s="23">
        <f ca="1" t="shared" si="14"/>
        <v>11439.725</v>
      </c>
      <c r="L91" s="23">
        <v>2500</v>
      </c>
      <c r="M91" s="23">
        <v>3000</v>
      </c>
      <c r="N91" s="23">
        <v>1500</v>
      </c>
      <c r="O91" s="23">
        <f ca="1" t="shared" si="15"/>
        <v>6863.835</v>
      </c>
      <c r="P91" s="23">
        <f ca="1" t="shared" si="16"/>
        <v>6863.835</v>
      </c>
      <c r="Q91" s="24">
        <v>200</v>
      </c>
      <c r="R91" s="25"/>
      <c r="S91" s="23">
        <f ca="1" t="shared" si="17"/>
        <v>98517.8</v>
      </c>
      <c r="T91" s="23">
        <f ca="1" t="shared" si="18"/>
        <v>7063.835</v>
      </c>
      <c r="U91" s="26">
        <f ca="1" t="shared" si="19"/>
        <v>91453.965</v>
      </c>
    </row>
    <row r="92" spans="1:21">
      <c r="A92" s="19">
        <v>196</v>
      </c>
      <c r="B92" s="20" t="s">
        <v>140</v>
      </c>
      <c r="C92" s="20" t="s">
        <v>26</v>
      </c>
      <c r="D92" s="20" t="s">
        <v>27</v>
      </c>
      <c r="E92" s="21">
        <v>44329</v>
      </c>
      <c r="G92" s="22">
        <f ca="1" t="shared" si="10"/>
        <v>1679181</v>
      </c>
      <c r="H92" s="23">
        <f ca="1" t="shared" si="11"/>
        <v>139931.75</v>
      </c>
      <c r="I92" s="23">
        <f ca="1" t="shared" si="12"/>
        <v>69965.875</v>
      </c>
      <c r="J92" s="23">
        <f ca="1" t="shared" si="13"/>
        <v>27986.35</v>
      </c>
      <c r="K92" s="23">
        <f ca="1" t="shared" si="14"/>
        <v>13993.175</v>
      </c>
      <c r="L92" s="23">
        <v>2500</v>
      </c>
      <c r="M92" s="23">
        <v>3000</v>
      </c>
      <c r="N92" s="23">
        <v>1500</v>
      </c>
      <c r="O92" s="23">
        <f ca="1" t="shared" si="15"/>
        <v>8395.905</v>
      </c>
      <c r="P92" s="23">
        <f ca="1" t="shared" si="16"/>
        <v>8395.905</v>
      </c>
      <c r="Q92" s="24">
        <v>200</v>
      </c>
      <c r="R92" s="25"/>
      <c r="S92" s="23">
        <f ca="1" t="shared" si="17"/>
        <v>118945.4</v>
      </c>
      <c r="T92" s="23">
        <f ca="1" t="shared" si="18"/>
        <v>8595.905</v>
      </c>
      <c r="U92" s="26">
        <f ca="1" t="shared" si="19"/>
        <v>110349.495</v>
      </c>
    </row>
    <row r="93" spans="1:21">
      <c r="A93" s="19">
        <v>197</v>
      </c>
      <c r="B93" s="20" t="s">
        <v>141</v>
      </c>
      <c r="C93" s="20" t="s">
        <v>26</v>
      </c>
      <c r="D93" s="20" t="s">
        <v>110</v>
      </c>
      <c r="E93" s="21">
        <v>44466</v>
      </c>
      <c r="G93" s="22">
        <f ca="1" t="shared" si="10"/>
        <v>1910588</v>
      </c>
      <c r="H93" s="23">
        <f ca="1" t="shared" si="11"/>
        <v>159215.666666667</v>
      </c>
      <c r="I93" s="23">
        <f ca="1" t="shared" si="12"/>
        <v>79607.8333333333</v>
      </c>
      <c r="J93" s="23">
        <f ca="1" t="shared" si="13"/>
        <v>31843.1333333333</v>
      </c>
      <c r="K93" s="23">
        <f ca="1" t="shared" si="14"/>
        <v>15921.5666666667</v>
      </c>
      <c r="L93" s="23">
        <v>2500</v>
      </c>
      <c r="M93" s="23">
        <v>3000</v>
      </c>
      <c r="N93" s="23">
        <v>1500</v>
      </c>
      <c r="O93" s="23">
        <f ca="1" t="shared" si="15"/>
        <v>9552.94</v>
      </c>
      <c r="P93" s="23">
        <f ca="1" t="shared" si="16"/>
        <v>9552.94</v>
      </c>
      <c r="Q93" s="24">
        <v>200</v>
      </c>
      <c r="R93" s="25"/>
      <c r="S93" s="23">
        <f ca="1" t="shared" si="17"/>
        <v>134372.533333333</v>
      </c>
      <c r="T93" s="23">
        <f ca="1" t="shared" si="18"/>
        <v>9752.94</v>
      </c>
      <c r="U93" s="26">
        <f ca="1" t="shared" si="19"/>
        <v>124619.593333333</v>
      </c>
    </row>
    <row r="94" spans="1:21">
      <c r="A94" s="19">
        <v>193</v>
      </c>
      <c r="B94" s="20" t="s">
        <v>142</v>
      </c>
      <c r="C94" s="20" t="s">
        <v>32</v>
      </c>
      <c r="D94" s="20" t="s">
        <v>33</v>
      </c>
      <c r="E94" s="21">
        <v>43929</v>
      </c>
      <c r="G94" s="22">
        <f ca="1" t="shared" si="10"/>
        <v>938133</v>
      </c>
      <c r="H94" s="23">
        <f ca="1" t="shared" si="11"/>
        <v>78177.75</v>
      </c>
      <c r="I94" s="23">
        <f ca="1" t="shared" si="12"/>
        <v>39088.875</v>
      </c>
      <c r="J94" s="23">
        <f ca="1" t="shared" si="13"/>
        <v>15635.55</v>
      </c>
      <c r="K94" s="23">
        <f ca="1" t="shared" si="14"/>
        <v>7817.775</v>
      </c>
      <c r="L94" s="23">
        <v>2500</v>
      </c>
      <c r="M94" s="23">
        <v>3000</v>
      </c>
      <c r="N94" s="23">
        <v>1500</v>
      </c>
      <c r="O94" s="23">
        <f ca="1" t="shared" si="15"/>
        <v>4690.665</v>
      </c>
      <c r="P94" s="23">
        <f ca="1" t="shared" si="16"/>
        <v>4690.665</v>
      </c>
      <c r="Q94" s="24">
        <v>200</v>
      </c>
      <c r="R94" s="25"/>
      <c r="S94" s="23">
        <f ca="1" t="shared" si="17"/>
        <v>69542.2</v>
      </c>
      <c r="T94" s="23">
        <f ca="1" t="shared" si="18"/>
        <v>4890.665</v>
      </c>
      <c r="U94" s="26">
        <f ca="1" t="shared" si="19"/>
        <v>64651.535</v>
      </c>
    </row>
    <row r="95" spans="1:21">
      <c r="A95" s="19">
        <v>157</v>
      </c>
      <c r="B95" s="20" t="s">
        <v>143</v>
      </c>
      <c r="C95" s="20" t="s">
        <v>26</v>
      </c>
      <c r="D95" s="20" t="s">
        <v>90</v>
      </c>
      <c r="E95" s="21">
        <v>45301</v>
      </c>
      <c r="G95" s="22">
        <f ca="1" t="shared" si="10"/>
        <v>1224985</v>
      </c>
      <c r="H95" s="23">
        <f ca="1" t="shared" si="11"/>
        <v>102082.083333333</v>
      </c>
      <c r="I95" s="23">
        <f ca="1" t="shared" si="12"/>
        <v>51041.0416666667</v>
      </c>
      <c r="J95" s="23">
        <f ca="1" t="shared" si="13"/>
        <v>20416.4166666667</v>
      </c>
      <c r="K95" s="23">
        <f ca="1" t="shared" si="14"/>
        <v>10208.2083333333</v>
      </c>
      <c r="L95" s="23">
        <v>2500</v>
      </c>
      <c r="M95" s="23">
        <v>3000</v>
      </c>
      <c r="N95" s="23">
        <v>1500</v>
      </c>
      <c r="O95" s="23">
        <f ca="1" t="shared" si="15"/>
        <v>6124.925</v>
      </c>
      <c r="P95" s="23">
        <f ca="1" t="shared" si="16"/>
        <v>6124.925</v>
      </c>
      <c r="Q95" s="24">
        <v>200</v>
      </c>
      <c r="R95" s="25"/>
      <c r="S95" s="23">
        <f ca="1" t="shared" si="17"/>
        <v>88665.6666666667</v>
      </c>
      <c r="T95" s="23">
        <f ca="1" t="shared" si="18"/>
        <v>6324.925</v>
      </c>
      <c r="U95" s="26">
        <f ca="1" t="shared" si="19"/>
        <v>82340.7416666667</v>
      </c>
    </row>
    <row r="96" spans="1:21">
      <c r="A96" s="19">
        <v>172</v>
      </c>
      <c r="B96" s="20" t="s">
        <v>144</v>
      </c>
      <c r="C96" s="20" t="s">
        <v>26</v>
      </c>
      <c r="D96" s="20" t="s">
        <v>27</v>
      </c>
      <c r="E96" s="21">
        <v>44074</v>
      </c>
      <c r="G96" s="22">
        <f ca="1" t="shared" si="10"/>
        <v>1160736</v>
      </c>
      <c r="H96" s="23">
        <f ca="1" t="shared" si="11"/>
        <v>96728</v>
      </c>
      <c r="I96" s="23">
        <f ca="1" t="shared" si="12"/>
        <v>48364</v>
      </c>
      <c r="J96" s="23">
        <f ca="1" t="shared" si="13"/>
        <v>19345.6</v>
      </c>
      <c r="K96" s="23">
        <f ca="1" t="shared" si="14"/>
        <v>9672.8</v>
      </c>
      <c r="L96" s="23">
        <v>2500</v>
      </c>
      <c r="M96" s="23">
        <v>3000</v>
      </c>
      <c r="N96" s="23">
        <v>1500</v>
      </c>
      <c r="O96" s="23">
        <f ca="1" t="shared" si="15"/>
        <v>5803.68</v>
      </c>
      <c r="P96" s="23">
        <f ca="1" t="shared" si="16"/>
        <v>5803.68</v>
      </c>
      <c r="Q96" s="24">
        <v>200</v>
      </c>
      <c r="R96" s="25"/>
      <c r="S96" s="23">
        <f ca="1" t="shared" si="17"/>
        <v>84382.4</v>
      </c>
      <c r="T96" s="23">
        <f ca="1" t="shared" si="18"/>
        <v>6003.68</v>
      </c>
      <c r="U96" s="26">
        <f ca="1" t="shared" si="19"/>
        <v>78378.72</v>
      </c>
    </row>
    <row r="97" spans="1:21">
      <c r="A97" s="19">
        <v>128</v>
      </c>
      <c r="B97" s="20" t="s">
        <v>145</v>
      </c>
      <c r="C97" s="20" t="s">
        <v>32</v>
      </c>
      <c r="D97" s="20" t="s">
        <v>45</v>
      </c>
      <c r="E97" s="21">
        <v>44431</v>
      </c>
      <c r="G97" s="22">
        <f ca="1" t="shared" si="10"/>
        <v>1800097</v>
      </c>
      <c r="H97" s="23">
        <f ca="1" t="shared" si="11"/>
        <v>150008.083333333</v>
      </c>
      <c r="I97" s="23">
        <f ca="1" t="shared" si="12"/>
        <v>75004.0416666667</v>
      </c>
      <c r="J97" s="23">
        <f ca="1" t="shared" si="13"/>
        <v>30001.6166666667</v>
      </c>
      <c r="K97" s="23">
        <f ca="1" t="shared" si="14"/>
        <v>15000.8083333333</v>
      </c>
      <c r="L97" s="23">
        <v>2500</v>
      </c>
      <c r="M97" s="23">
        <v>3000</v>
      </c>
      <c r="N97" s="23">
        <v>1500</v>
      </c>
      <c r="O97" s="23">
        <f ca="1" t="shared" si="15"/>
        <v>9000.485</v>
      </c>
      <c r="P97" s="23">
        <f ca="1" t="shared" si="16"/>
        <v>9000.485</v>
      </c>
      <c r="Q97" s="24">
        <v>200</v>
      </c>
      <c r="R97" s="25"/>
      <c r="S97" s="23">
        <f ca="1" t="shared" si="17"/>
        <v>127006.466666667</v>
      </c>
      <c r="T97" s="23">
        <f ca="1" t="shared" si="18"/>
        <v>9200.485</v>
      </c>
      <c r="U97" s="26">
        <f ca="1" t="shared" si="19"/>
        <v>117805.981666667</v>
      </c>
    </row>
    <row r="98" spans="1:21">
      <c r="A98" s="19">
        <v>142</v>
      </c>
      <c r="B98" s="20" t="s">
        <v>146</v>
      </c>
      <c r="C98" s="20" t="s">
        <v>26</v>
      </c>
      <c r="D98" s="20" t="s">
        <v>60</v>
      </c>
      <c r="E98" s="21">
        <v>44855</v>
      </c>
      <c r="G98" s="22">
        <f ca="1" t="shared" si="10"/>
        <v>1636098</v>
      </c>
      <c r="H98" s="23">
        <f ca="1" t="shared" si="11"/>
        <v>136341.5</v>
      </c>
      <c r="I98" s="23">
        <f ca="1" t="shared" si="12"/>
        <v>68170.75</v>
      </c>
      <c r="J98" s="23">
        <f ca="1" t="shared" si="13"/>
        <v>27268.3</v>
      </c>
      <c r="K98" s="23">
        <f ca="1" t="shared" si="14"/>
        <v>13634.15</v>
      </c>
      <c r="L98" s="23">
        <v>2500</v>
      </c>
      <c r="M98" s="23">
        <v>3000</v>
      </c>
      <c r="N98" s="23">
        <v>1500</v>
      </c>
      <c r="O98" s="23">
        <f ca="1" t="shared" si="15"/>
        <v>8180.49</v>
      </c>
      <c r="P98" s="23">
        <f ca="1" t="shared" si="16"/>
        <v>8180.49</v>
      </c>
      <c r="Q98" s="24">
        <v>200</v>
      </c>
      <c r="R98" s="25"/>
      <c r="S98" s="23">
        <f ca="1" t="shared" si="17"/>
        <v>116073.2</v>
      </c>
      <c r="T98" s="23">
        <f ca="1" t="shared" si="18"/>
        <v>8380.49</v>
      </c>
      <c r="U98" s="26">
        <f ca="1" t="shared" si="19"/>
        <v>107692.71</v>
      </c>
    </row>
    <row r="99" spans="1:21">
      <c r="A99" s="19">
        <v>192</v>
      </c>
      <c r="B99" s="20" t="s">
        <v>147</v>
      </c>
      <c r="C99" s="20" t="s">
        <v>26</v>
      </c>
      <c r="D99" s="20" t="s">
        <v>51</v>
      </c>
      <c r="E99" s="21">
        <v>43801</v>
      </c>
      <c r="G99" s="22">
        <f ca="1" t="shared" si="10"/>
        <v>1838957</v>
      </c>
      <c r="H99" s="23">
        <f ca="1" t="shared" si="11"/>
        <v>153246.416666667</v>
      </c>
      <c r="I99" s="23">
        <f ca="1" t="shared" si="12"/>
        <v>76623.2083333333</v>
      </c>
      <c r="J99" s="23">
        <f ca="1" t="shared" si="13"/>
        <v>30649.2833333333</v>
      </c>
      <c r="K99" s="23">
        <f ca="1" t="shared" si="14"/>
        <v>15324.6416666667</v>
      </c>
      <c r="L99" s="23">
        <v>2500</v>
      </c>
      <c r="M99" s="23">
        <v>3000</v>
      </c>
      <c r="N99" s="23">
        <v>1500</v>
      </c>
      <c r="O99" s="23">
        <f ca="1" t="shared" si="15"/>
        <v>9194.785</v>
      </c>
      <c r="P99" s="23">
        <f ca="1" t="shared" si="16"/>
        <v>9194.785</v>
      </c>
      <c r="Q99" s="24">
        <v>200</v>
      </c>
      <c r="R99" s="25"/>
      <c r="S99" s="23">
        <f ca="1" t="shared" si="17"/>
        <v>129597.133333333</v>
      </c>
      <c r="T99" s="23">
        <f ca="1" t="shared" si="18"/>
        <v>9394.785</v>
      </c>
      <c r="U99" s="26">
        <f ca="1" t="shared" si="19"/>
        <v>120202.348333333</v>
      </c>
    </row>
    <row r="100" spans="1:21">
      <c r="A100" s="19">
        <v>139</v>
      </c>
      <c r="B100" s="20" t="s">
        <v>148</v>
      </c>
      <c r="C100" s="20" t="s">
        <v>35</v>
      </c>
      <c r="D100" s="20" t="s">
        <v>43</v>
      </c>
      <c r="E100" s="21">
        <v>44754</v>
      </c>
      <c r="G100" s="22">
        <f ca="1" t="shared" si="10"/>
        <v>1531197</v>
      </c>
      <c r="H100" s="23">
        <f ca="1" t="shared" si="11"/>
        <v>127599.75</v>
      </c>
      <c r="I100" s="23">
        <f ca="1" t="shared" si="12"/>
        <v>63799.875</v>
      </c>
      <c r="J100" s="23">
        <f ca="1" t="shared" si="13"/>
        <v>25519.95</v>
      </c>
      <c r="K100" s="23">
        <f ca="1" t="shared" si="14"/>
        <v>12759.975</v>
      </c>
      <c r="L100" s="23">
        <v>2500</v>
      </c>
      <c r="M100" s="23">
        <v>3000</v>
      </c>
      <c r="N100" s="23">
        <v>1500</v>
      </c>
      <c r="O100" s="23">
        <f ca="1" t="shared" si="15"/>
        <v>7655.985</v>
      </c>
      <c r="P100" s="23">
        <f ca="1" t="shared" si="16"/>
        <v>7655.985</v>
      </c>
      <c r="Q100" s="24">
        <v>200</v>
      </c>
      <c r="R100" s="25"/>
      <c r="S100" s="23">
        <f ca="1" t="shared" si="17"/>
        <v>109079.8</v>
      </c>
      <c r="T100" s="23">
        <f ca="1" t="shared" si="18"/>
        <v>7855.985</v>
      </c>
      <c r="U100" s="26">
        <f ca="1" t="shared" si="19"/>
        <v>101223.815</v>
      </c>
    </row>
    <row r="101" spans="1:21">
      <c r="A101" s="19">
        <v>145</v>
      </c>
      <c r="B101" s="20" t="s">
        <v>149</v>
      </c>
      <c r="C101" s="20" t="s">
        <v>39</v>
      </c>
      <c r="D101" s="20" t="s">
        <v>81</v>
      </c>
      <c r="E101" s="21">
        <v>44937</v>
      </c>
      <c r="G101" s="22">
        <f ca="1" t="shared" si="10"/>
        <v>1230997</v>
      </c>
      <c r="H101" s="23">
        <f ca="1" t="shared" si="11"/>
        <v>102583.083333333</v>
      </c>
      <c r="I101" s="23">
        <f ca="1" t="shared" si="12"/>
        <v>51291.5416666667</v>
      </c>
      <c r="J101" s="23">
        <f ca="1" t="shared" si="13"/>
        <v>20516.6166666667</v>
      </c>
      <c r="K101" s="23">
        <f ca="1" t="shared" si="14"/>
        <v>10258.3083333333</v>
      </c>
      <c r="L101" s="23">
        <v>2500</v>
      </c>
      <c r="M101" s="23">
        <v>3000</v>
      </c>
      <c r="N101" s="23">
        <v>1500</v>
      </c>
      <c r="O101" s="23">
        <f ca="1" t="shared" si="15"/>
        <v>6154.985</v>
      </c>
      <c r="P101" s="23">
        <f ca="1" t="shared" si="16"/>
        <v>6154.985</v>
      </c>
      <c r="Q101" s="24">
        <v>200</v>
      </c>
      <c r="R101" s="25"/>
      <c r="S101" s="23">
        <f ca="1" t="shared" si="17"/>
        <v>89066.4666666667</v>
      </c>
      <c r="T101" s="23">
        <f ca="1" t="shared" si="18"/>
        <v>6354.985</v>
      </c>
      <c r="U101" s="26">
        <f ca="1" t="shared" si="19"/>
        <v>82711.4816666667</v>
      </c>
    </row>
    <row r="102" ht="15.15" spans="1:21">
      <c r="A102" s="27">
        <v>104</v>
      </c>
      <c r="B102" s="28" t="s">
        <v>150</v>
      </c>
      <c r="C102" s="28" t="s">
        <v>23</v>
      </c>
      <c r="D102" s="28" t="s">
        <v>24</v>
      </c>
      <c r="E102" s="29">
        <v>43668</v>
      </c>
      <c r="G102" s="30">
        <f ca="1" t="shared" si="10"/>
        <v>1852020</v>
      </c>
      <c r="H102" s="31">
        <f ca="1" t="shared" si="11"/>
        <v>154335</v>
      </c>
      <c r="I102" s="31">
        <f ca="1" t="shared" si="12"/>
        <v>77167.5</v>
      </c>
      <c r="J102" s="31">
        <f ca="1" t="shared" si="13"/>
        <v>30867</v>
      </c>
      <c r="K102" s="31">
        <f ca="1" t="shared" si="14"/>
        <v>15433.5</v>
      </c>
      <c r="L102" s="31">
        <v>2500</v>
      </c>
      <c r="M102" s="31">
        <v>3000</v>
      </c>
      <c r="N102" s="31">
        <v>1500</v>
      </c>
      <c r="O102" s="31">
        <f ca="1" t="shared" si="15"/>
        <v>9260.1</v>
      </c>
      <c r="P102" s="31">
        <f ca="1" t="shared" si="16"/>
        <v>9260.1</v>
      </c>
      <c r="Q102" s="32">
        <v>200</v>
      </c>
      <c r="R102" s="25"/>
      <c r="S102" s="23">
        <f ca="1" t="shared" si="17"/>
        <v>130468</v>
      </c>
      <c r="T102" s="23">
        <f ca="1" t="shared" si="18"/>
        <v>9460.1</v>
      </c>
      <c r="U102" s="26">
        <f ca="1" t="shared" si="19"/>
        <v>121007.9</v>
      </c>
    </row>
    <row r="104" spans="1:21">
      <c r="D104" s="33" t="s">
        <v>151</v>
      </c>
      <c r="E104" s="34"/>
      <c r="F104" s="34"/>
      <c r="G104" s="34"/>
    </row>
    <row r="105" spans="1:21">
      <c r="D105" s="35" t="s">
        <v>152</v>
      </c>
      <c r="E105" s="36" t="s">
        <v>153</v>
      </c>
      <c r="F105" s="37" t="s">
        <v>154</v>
      </c>
      <c r="G105" s="38" t="s">
        <v>155</v>
      </c>
    </row>
    <row r="106" spans="1:21">
      <c r="D106" s="22">
        <f ca="1">MAX(U3:U102)</f>
        <v>130084</v>
      </c>
      <c r="E106" s="22">
        <f ca="1">MIN((U3:U102))</f>
        <v>59477.1466666667</v>
      </c>
      <c r="F106" s="22">
        <f ca="1">AVERAGE((U3:U102))</f>
        <v>95099.73225</v>
      </c>
      <c r="G106" s="22">
        <f ca="1">SUM((U3:U102))</f>
        <v>9509973.225</v>
      </c>
    </row>
  </sheetData>
  <sortState ref="A3:U102">
    <sortCondition ref="U3:U102"/>
  </sortState>
  <mergeCells count="4">
    <mergeCell ref="A1:E1"/>
    <mergeCell ref="G1:Q1"/>
    <mergeCell ref="S1:U1"/>
    <mergeCell ref="D104:G104"/>
  </mergeCells>
  <conditionalFormatting sqref="U$1:U$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1" operator="greaterThan">
      <formula>100000</formula>
    </cfRule>
  </conditionalFormatting>
  <dataValidations count="1">
    <dataValidation type="list" allowBlank="1" showInputMessage="1" showErrorMessage="1" sqref="C2:C1048576">
      <formula1>"HR,Finance,Sales,Marketing,IT,Operations,Admin"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Shradha</cp:lastModifiedBy>
  <dcterms:created xsi:type="dcterms:W3CDTF">2026-07-13T05:52:00Z</dcterms:created>
  <dcterms:modified xsi:type="dcterms:W3CDTF">2026-07-31T15:47:46Z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2D9A59E740784980814BC8BD520F1F5C_13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